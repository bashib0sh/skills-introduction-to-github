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puts" sheetId="2" state="visible" r:id="rId4"/>
    <sheet name="Model" sheetId="3" state="visible" r:id="rId5"/>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Year 0 = financial close / funding date. Years 1-25 = operations from COD.</t>
        </r>
      </text>
    </comment>
  </commentList>
</comments>
</file>

<file path=xl/sharedStrings.xml><?xml version="1.0" encoding="utf-8"?>
<sst xmlns="http://schemas.openxmlformats.org/spreadsheetml/2006/main" count="240" uniqueCount="152">
  <si>
    <t xml:space="preserve">Tranched Debt Sizing: Summary</t>
  </si>
  <si>
    <t xml:space="preserve">150 MW solar PV, illustrative inputs. All figures in $mm unless stated. Change blue cells on the Inputs tab.</t>
  </si>
  <si>
    <t xml:space="preserve">Sources of funds</t>
  </si>
  <si>
    <t xml:space="preserve">$mm</t>
  </si>
  <si>
    <t xml:space="preserve">% of total</t>
  </si>
  <si>
    <t xml:space="preserve">Rate</t>
  </si>
  <si>
    <t xml:space="preserve">Tenor (yrs)</t>
  </si>
  <si>
    <t xml:space="preserve">Sizing constraint</t>
  </si>
  <si>
    <t xml:space="preserve">Tranche A: Senior term loan</t>
  </si>
  <si>
    <t xml:space="preserve">Tranche B: Mezzanine loan</t>
  </si>
  <si>
    <t xml:space="preserve">Sponsor equity</t>
  </si>
  <si>
    <t xml:space="preserve">Plug</t>
  </si>
  <si>
    <t xml:space="preserve">Total debt</t>
  </si>
  <si>
    <t xml:space="preserve">Total sources</t>
  </si>
  <si>
    <t xml:space="preserve">Uses of funds</t>
  </si>
  <si>
    <t xml:space="preserve">EPC + development costs</t>
  </si>
  <si>
    <t xml:space="preserve">Financing fees + IDC</t>
  </si>
  <si>
    <t xml:space="preserve">Total uses</t>
  </si>
  <si>
    <t xml:space="preserve">Key credit metrics (P50 unless stated)</t>
  </si>
  <si>
    <t xml:space="preserve">Value</t>
  </si>
  <si>
    <t xml:space="preserve">Senior: minimum DSCR (P50)</t>
  </si>
  <si>
    <t xml:space="preserve">Senior: average DSCR (P50)</t>
  </si>
  <si>
    <t xml:space="preserve">Senior: minimum DSCR (P90)</t>
  </si>
  <si>
    <t xml:space="preserve">Senior: LLCR at close (P50)</t>
  </si>
  <si>
    <t xml:space="preserve">Senior: weighted average life (yrs)</t>
  </si>
  <si>
    <t xml:space="preserve">Combined: minimum DSCR (P50)</t>
  </si>
  <si>
    <t xml:space="preserve">Combined: minimum DSCR (P90)</t>
  </si>
  <si>
    <t xml:space="preserve">Mezz: weighted average life (yrs)</t>
  </si>
  <si>
    <t xml:space="preserve">Project IRR (unlevered, post-tax)</t>
  </si>
  <si>
    <t xml:space="preserve">Equity IRR (post-tax, P50)</t>
  </si>
  <si>
    <t xml:space="preserve">Equity multiple (MOIC)</t>
  </si>
  <si>
    <t xml:space="preserve">Integrity checks</t>
  </si>
  <si>
    <t xml:space="preserve">Status</t>
  </si>
  <si>
    <t xml:space="preserve">Senior balance at maturity</t>
  </si>
  <si>
    <t xml:space="preserve">Mezz balance at maturity</t>
  </si>
  <si>
    <t xml:space="preserve">Sources less uses</t>
  </si>
  <si>
    <t xml:space="preserve">Minimum senior principal (no negative amortization)</t>
  </si>
  <si>
    <t xml:space="preserve">Minimum mezz principal (no negative amortization)</t>
  </si>
  <si>
    <t xml:space="preserve">Structuring notes</t>
  </si>
  <si>
    <t xml:space="preserve">1. Senior debt service is sculpted to the lower of CFADS/1.30x (P50) and CFADS/1.20x (P90) over its tenor; debt = PV of that profile at the all-in rate, capped at max gearing.</t>
  </si>
  <si>
    <t xml:space="preserve">2. If gearing binds, the sculpted profile is scaled down pro rata so the loan still fully amortizes at maturity (actual DSCRs rise above target).</t>
  </si>
  <si>
    <t xml:space="preserve">3. Mezz sizes on combined DSCR floors (1.15x P50 / 1.05x P90) and takes the residual DS capacity after senior. If mezz tenor exceeds senior, most of its capacity sits in the tail and early years can turn into PIK accretion (flagged by the integrity check).</t>
  </si>
  <si>
    <t xml:space="preserve">4. Simplifications: annual periods, no construction-period drawdown profile, no DSRA/MRA, no cash sweep, no interest tax shield. Fees/IDC held fixed to stay non-circular.</t>
  </si>
  <si>
    <t xml:space="preserve">Inputs: 150 MW Solar PV Project (Illustrative)</t>
  </si>
  <si>
    <t xml:space="preserve">Legend: blue = hardcoded input (edit these) | yellow fill = key sizing levers | black = formula. All values are illustrative placeholders, not market quotes.</t>
  </si>
  <si>
    <t xml:space="preserve">Item</t>
  </si>
  <si>
    <t xml:space="preserve">Unit</t>
  </si>
  <si>
    <t xml:space="preserve">Source / note</t>
  </si>
  <si>
    <t xml:space="preserve">Project</t>
  </si>
  <si>
    <t xml:space="preserve">Installed capacity</t>
  </si>
  <si>
    <t xml:space="preserve">MW</t>
  </si>
  <si>
    <t xml:space="preserve">Illustrative</t>
  </si>
  <si>
    <t xml:space="preserve">P50 net capacity factor</t>
  </si>
  <si>
    <t xml:space="preserve">%</t>
  </si>
  <si>
    <t xml:space="preserve">Illustrative; replace with independent energy yield report</t>
  </si>
  <si>
    <t xml:space="preserve">P90 (1-year) net capacity factor</t>
  </si>
  <si>
    <t xml:space="preserve">Annual module degradation</t>
  </si>
  <si>
    <t xml:space="preserve">Operating life</t>
  </si>
  <si>
    <t xml:space="preserve">years</t>
  </si>
  <si>
    <t xml:space="preserve">Model horizon from COD</t>
  </si>
  <si>
    <t xml:space="preserve">Revenue</t>
  </si>
  <si>
    <t xml:space="preserve">PPA tariff (Year 1)</t>
  </si>
  <si>
    <t xml:space="preserve">$/MWh</t>
  </si>
  <si>
    <t xml:space="preserve">Tariff escalation</t>
  </si>
  <si>
    <t xml:space="preserve">% p.a.</t>
  </si>
  <si>
    <t xml:space="preserve">Operating costs</t>
  </si>
  <si>
    <t xml:space="preserve">Fixed O&amp;M + SG&amp;A (Year 1)</t>
  </si>
  <si>
    <t xml:space="preserve">$/kW-yr</t>
  </si>
  <si>
    <t xml:space="preserve">Opex escalation</t>
  </si>
  <si>
    <t xml:space="preserve">Project cost</t>
  </si>
  <si>
    <t xml:space="preserve">Financing fees + IDC (estimate)</t>
  </si>
  <si>
    <t xml:space="preserve">Held fixed to avoid a circular reference; true-up in a full model</t>
  </si>
  <si>
    <t xml:space="preserve">Total project cost</t>
  </si>
  <si>
    <t xml:space="preserve">Formula</t>
  </si>
  <si>
    <t xml:space="preserve">Tax</t>
  </si>
  <si>
    <t xml:space="preserve">Corporate tax rate</t>
  </si>
  <si>
    <t xml:space="preserve">Tax depreciation life (straight line)</t>
  </si>
  <si>
    <t xml:space="preserve">Interest tax shield excluded (conservative, avoids circularity)</t>
  </si>
  <si>
    <t xml:space="preserve">Senior term loan (Tranche A)</t>
  </si>
  <si>
    <t xml:space="preserve">Tenor from COD</t>
  </si>
  <si>
    <t xml:space="preserve">All-in interest rate (base + margin + swap)</t>
  </si>
  <si>
    <t xml:space="preserve">Illustrative; fixed via swap</t>
  </si>
  <si>
    <t xml:space="preserve">Target DSCR: P50 case</t>
  </si>
  <si>
    <t xml:space="preserve">x</t>
  </si>
  <si>
    <t xml:space="preserve">Senior sculpting target, P50</t>
  </si>
  <si>
    <t xml:space="preserve">Target DSCR: P90 case</t>
  </si>
  <si>
    <t xml:space="preserve">Senior sculpting target, P90 (1-yr)</t>
  </si>
  <si>
    <t xml:space="preserve">Max senior gearing</t>
  </si>
  <si>
    <t xml:space="preserve">% of cost</t>
  </si>
  <si>
    <t xml:space="preserve">Senior debt / total project cost cap</t>
  </si>
  <si>
    <t xml:space="preserve">Mezzanine / HoldCo loan (Tranche B)</t>
  </si>
  <si>
    <t xml:space="preserve">Coterminous with senior; a longer tenor pushes repayment into the post-senior tail (see Summary note 3)</t>
  </si>
  <si>
    <t xml:space="preserve">All-in interest rate</t>
  </si>
  <si>
    <t xml:space="preserve">Combined DSCR floor: P50 case</t>
  </si>
  <si>
    <t xml:space="preserve">Senior + mezz debt service</t>
  </si>
  <si>
    <t xml:space="preserve">Combined DSCR floor: P90 case</t>
  </si>
  <si>
    <t xml:space="preserve">Max total gearing</t>
  </si>
  <si>
    <t xml:space="preserve">(Senior + mezz) / total project cost cap</t>
  </si>
  <si>
    <t xml:space="preserve">Tranched Debt Sizing Model: Annual ($mm unless stated)</t>
  </si>
  <si>
    <t xml:space="preserve">Sizing: each tranche is sculpted to the LOWER of its P50 and P90 DSCR targets, then capped by gearing. Mezz sizes on combined DSCR and takes the residual capacity after senior.</t>
  </si>
  <si>
    <t xml:space="preserve">Line item</t>
  </si>
  <si>
    <t xml:space="preserve">Total / value</t>
  </si>
  <si>
    <t xml:space="preserve">Operations flag</t>
  </si>
  <si>
    <t xml:space="preserve">flag</t>
  </si>
  <si>
    <t xml:space="preserve">Senior repayment flag</t>
  </si>
  <si>
    <t xml:space="preserve">Mezz repayment flag</t>
  </si>
  <si>
    <t xml:space="preserve">Operations &amp; CFADS</t>
  </si>
  <si>
    <t xml:space="preserve">Net generation: P50</t>
  </si>
  <si>
    <t xml:space="preserve">MWh</t>
  </si>
  <si>
    <t xml:space="preserve">Net generation: P90</t>
  </si>
  <si>
    <t xml:space="preserve">PPA tariff</t>
  </si>
  <si>
    <t xml:space="preserve">Revenue: P50</t>
  </si>
  <si>
    <t xml:space="preserve">Revenue: P90</t>
  </si>
  <si>
    <t xml:space="preserve">EBITDA: P50</t>
  </si>
  <si>
    <t xml:space="preserve">EBITDA: P90</t>
  </si>
  <si>
    <t xml:space="preserve">Tax depreciation</t>
  </si>
  <si>
    <t xml:space="preserve">Cash tax: P50</t>
  </si>
  <si>
    <t xml:space="preserve">Cash tax: P90</t>
  </si>
  <si>
    <t xml:space="preserve">CFADS: P50</t>
  </si>
  <si>
    <t xml:space="preserve">CFADS: P90</t>
  </si>
  <si>
    <t xml:space="preserve">Tranche A: Senior debt sizing (sculpted)</t>
  </si>
  <si>
    <t xml:space="preserve">Max DS @ P50 target DSCR</t>
  </si>
  <si>
    <t xml:space="preserve">Max DS @ P90 target DSCR</t>
  </si>
  <si>
    <t xml:space="preserve">Target senior DS (lower of)</t>
  </si>
  <si>
    <t xml:space="preserve">DSCR-based capacity (PV of target DS @ senior rate)</t>
  </si>
  <si>
    <t xml:space="preserve">Gearing-based capacity</t>
  </si>
  <si>
    <t xml:space="preserve">Senior debt amount</t>
  </si>
  <si>
    <t xml:space="preserve">Binding constraint</t>
  </si>
  <si>
    <t xml:space="preserve">DS scaling factor</t>
  </si>
  <si>
    <t xml:space="preserve">Senior debt service (sculpted)</t>
  </si>
  <si>
    <t xml:space="preserve">Tranche B: Mezzanine debt sizing (residual on combined DSCR)</t>
  </si>
  <si>
    <t xml:space="preserve">Max combined DS @ P50 floor</t>
  </si>
  <si>
    <t xml:space="preserve">Max combined DS @ P90 floor</t>
  </si>
  <si>
    <t xml:space="preserve">Target mezz DS (combined less senior)</t>
  </si>
  <si>
    <t xml:space="preserve">DSCR-based capacity (PV of target DS @ mezz rate)</t>
  </si>
  <si>
    <t xml:space="preserve">Gearing-based capacity (total cap less senior)</t>
  </si>
  <si>
    <t xml:space="preserve">Mezzanine debt amount</t>
  </si>
  <si>
    <t xml:space="preserve">Mezz debt service (sculpted)</t>
  </si>
  <si>
    <t xml:space="preserve">Senior debt schedule</t>
  </si>
  <si>
    <t xml:space="preserve">Opening balance</t>
  </si>
  <si>
    <t xml:space="preserve">Drawdown</t>
  </si>
  <si>
    <t xml:space="preserve">Interest</t>
  </si>
  <si>
    <t xml:space="preserve">Principal repayment</t>
  </si>
  <si>
    <t xml:space="preserve">Closing balance</t>
  </si>
  <si>
    <t xml:space="preserve">Senior DSCR: P50</t>
  </si>
  <si>
    <t xml:space="preserve">Senior DSCR: P90</t>
  </si>
  <si>
    <t xml:space="preserve">Mezzanine debt schedule</t>
  </si>
  <si>
    <t xml:space="preserve">Combined DSCR: P50</t>
  </si>
  <si>
    <t xml:space="preserve">Combined DSCR: P90</t>
  </si>
  <si>
    <t xml:space="preserve">Equity &amp; returns (P50 base case)</t>
  </si>
  <si>
    <t xml:space="preserve">Project cash flow (unlevered, post-tax)</t>
  </si>
  <si>
    <t xml:space="preserve">Equity cash flow</t>
  </si>
</sst>
</file>

<file path=xl/styles.xml><?xml version="1.0" encoding="utf-8"?>
<styleSheet xmlns="http://schemas.openxmlformats.org/spreadsheetml/2006/main">
  <numFmts count="13">
    <numFmt numFmtId="164" formatCode="General"/>
    <numFmt numFmtId="165" formatCode="#,##0.0;\(#,##0.0\);\-"/>
    <numFmt numFmtId="166" formatCode="0.0%;\(0.0%\);\-"/>
    <numFmt numFmtId="167" formatCode="#,##0;\(#,##0\);\-"/>
    <numFmt numFmtId="168" formatCode="@"/>
    <numFmt numFmtId="169" formatCode="0.00\x;\(0.00&quot;x)&quot;;\-"/>
    <numFmt numFmtId="170" formatCode="0.0"/>
    <numFmt numFmtId="171" formatCode="0.00\x"/>
    <numFmt numFmtId="172" formatCode="#,##0.000;\(#,##0.000\);\-"/>
    <numFmt numFmtId="173" formatCode="#,##0.00"/>
    <numFmt numFmtId="174" formatCode="&quot;Year &quot;0"/>
    <numFmt numFmtId="175" formatCode="0"/>
    <numFmt numFmtId="176" formatCode="0.000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sz val="10"/>
      <name val="Arial"/>
      <family val="0"/>
      <charset val="1"/>
    </font>
    <font>
      <sz val="10"/>
      <color rgb="FF008000"/>
      <name val="Arial"/>
      <family val="0"/>
      <charset val="1"/>
    </font>
    <font>
      <b val="true"/>
      <sz val="10"/>
      <name val="Arial"/>
      <family val="0"/>
      <charset val="1"/>
    </font>
    <font>
      <b val="true"/>
      <sz val="10"/>
      <color rgb="FF008000"/>
      <name val="Arial"/>
      <family val="0"/>
      <charset val="1"/>
    </font>
    <font>
      <sz val="9"/>
      <name val="Arial"/>
      <family val="0"/>
      <charset val="1"/>
    </font>
    <font>
      <sz val="10"/>
      <color rgb="FF0000FF"/>
      <name val="Arial"/>
      <family val="0"/>
      <charset val="1"/>
    </font>
    <font>
      <i val="true"/>
      <sz val="9"/>
      <color rgb="FF595959"/>
      <name val="Arial"/>
      <family val="0"/>
      <charset val="1"/>
    </font>
    <font>
      <b val="true"/>
      <sz val="10"/>
      <color rgb="FFFFFF00"/>
      <name val="Arial"/>
      <family val="0"/>
      <charset val="1"/>
    </font>
    <font>
      <sz val="10"/>
      <name val="Arial"/>
      <family val="2"/>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9" fontId="12" fillId="4" borderId="0" xfId="0" applyFont="true" applyBorder="false" applyAlignment="false" applyProtection="false">
      <alignment horizontal="general" vertical="bottom" textRotation="0" wrapText="false" indent="0" shrinkToFit="false"/>
      <protection locked="true" hidden="false"/>
    </xf>
    <xf numFmtId="166" fontId="12" fillId="4"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74" fontId="14" fillId="2" borderId="0" xfId="0" applyFont="true" applyBorder="false" applyAlignment="true" applyProtection="false">
      <alignment horizontal="center" vertical="bottom" textRotation="0" wrapText="false" indent="0" shrinkToFit="false"/>
      <protection locked="true" hidden="false"/>
    </xf>
    <xf numFmtId="174" fontId="6" fillId="2" borderId="0" xfId="0" applyFont="true" applyBorder="false" applyAlignment="true" applyProtection="false">
      <alignment horizontal="center"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5" min="2" style="0" width="14"/>
    <col collapsed="false" customWidth="true" hidden="false" outlineLevel="0" max="6" min="6"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5" t="n">
        <f aca="false">Model!C30</f>
        <v>136.99148962505</v>
      </c>
      <c r="C5" s="6" t="n">
        <f aca="false">IF($B$9&gt;0,B5/$B$9,0)</f>
        <v>0.78280851214314</v>
      </c>
      <c r="D5" s="7" t="n">
        <f aca="false">Inputs!B25</f>
        <v>0.065</v>
      </c>
      <c r="E5" s="8" t="n">
        <f aca="false">Inputs!B24</f>
        <v>18</v>
      </c>
      <c r="F5" s="9" t="str">
        <f aca="false">Model!C31</f>
        <v>DSCR</v>
      </c>
    </row>
    <row r="6" customFormat="false" ht="15" hidden="false" customHeight="false" outlineLevel="0" collapsed="false">
      <c r="A6" s="4" t="s">
        <v>9</v>
      </c>
      <c r="B6" s="5" t="n">
        <f aca="false">Model!C41</f>
        <v>11.7585103749505</v>
      </c>
      <c r="C6" s="6" t="n">
        <f aca="false">IF($B$9&gt;0,B6/$B$9,0)</f>
        <v>0.0671914878568599</v>
      </c>
      <c r="D6" s="7" t="n">
        <f aca="false">Inputs!B31</f>
        <v>0.1</v>
      </c>
      <c r="E6" s="8" t="n">
        <f aca="false">Inputs!B30</f>
        <v>18</v>
      </c>
      <c r="F6" s="9" t="str">
        <f aca="false">Model!C42</f>
        <v>Gearing</v>
      </c>
    </row>
    <row r="7" customFormat="false" ht="15" hidden="false" customHeight="false" outlineLevel="0" collapsed="false">
      <c r="A7" s="4" t="s">
        <v>10</v>
      </c>
      <c r="B7" s="10" t="n">
        <f aca="false">B9-B5-B6</f>
        <v>26.25</v>
      </c>
      <c r="C7" s="6" t="n">
        <f aca="false">IF($B$9&gt;0,B7/$B$9,0)</f>
        <v>0.15</v>
      </c>
      <c r="F7" s="11" t="s">
        <v>11</v>
      </c>
    </row>
    <row r="8" customFormat="false" ht="15" hidden="false" customHeight="false" outlineLevel="0" collapsed="false">
      <c r="A8" s="12" t="s">
        <v>12</v>
      </c>
      <c r="B8" s="13" t="n">
        <f aca="false">B5+B6</f>
        <v>148.75</v>
      </c>
      <c r="C8" s="14" t="n">
        <f aca="false">IF($B$9&gt;0,B8/$B$9,0)</f>
        <v>0.85</v>
      </c>
      <c r="D8" s="15"/>
      <c r="E8" s="15"/>
      <c r="F8" s="15"/>
    </row>
    <row r="9" customFormat="false" ht="15" hidden="false" customHeight="false" outlineLevel="0" collapsed="false">
      <c r="A9" s="12" t="s">
        <v>13</v>
      </c>
      <c r="B9" s="16" t="n">
        <f aca="false">Inputs!B19</f>
        <v>175</v>
      </c>
      <c r="C9" s="14" t="n">
        <f aca="false">SUM(C5:C7)</f>
        <v>1</v>
      </c>
      <c r="D9" s="15"/>
      <c r="E9" s="15"/>
      <c r="F9" s="15"/>
    </row>
    <row r="11" customFormat="false" ht="15" hidden="false" customHeight="false" outlineLevel="0" collapsed="false">
      <c r="A11" s="3" t="s">
        <v>14</v>
      </c>
      <c r="B11" s="3" t="s">
        <v>3</v>
      </c>
      <c r="C11" s="3" t="s">
        <v>4</v>
      </c>
    </row>
    <row r="12" customFormat="false" ht="15" hidden="false" customHeight="false" outlineLevel="0" collapsed="false">
      <c r="A12" s="4" t="s">
        <v>15</v>
      </c>
      <c r="B12" s="5" t="n">
        <f aca="false">Inputs!B17</f>
        <v>165</v>
      </c>
      <c r="C12" s="6" t="n">
        <f aca="false">IF($B$14&gt;0,B12/$B$14,0)</f>
        <v>0.942857142857143</v>
      </c>
    </row>
    <row r="13" customFormat="false" ht="15" hidden="false" customHeight="false" outlineLevel="0" collapsed="false">
      <c r="A13" s="4" t="s">
        <v>16</v>
      </c>
      <c r="B13" s="5" t="n">
        <f aca="false">Inputs!B18</f>
        <v>10</v>
      </c>
      <c r="C13" s="6" t="n">
        <f aca="false">IF($B$14&gt;0,B13/$B$14,0)</f>
        <v>0.0571428571428571</v>
      </c>
    </row>
    <row r="14" customFormat="false" ht="15" hidden="false" customHeight="false" outlineLevel="0" collapsed="false">
      <c r="A14" s="12" t="s">
        <v>17</v>
      </c>
      <c r="B14" s="13" t="n">
        <f aca="false">B12+B13</f>
        <v>175</v>
      </c>
      <c r="C14" s="14" t="n">
        <f aca="false">IF($B$14&gt;0,B14/$B$14,0)</f>
        <v>1</v>
      </c>
    </row>
    <row r="16" customFormat="false" ht="15" hidden="false" customHeight="false" outlineLevel="0" collapsed="false">
      <c r="A16" s="3" t="s">
        <v>18</v>
      </c>
      <c r="B16" s="3" t="s">
        <v>19</v>
      </c>
      <c r="C16" s="3"/>
      <c r="D16" s="3"/>
      <c r="E16" s="3"/>
      <c r="F16" s="3"/>
    </row>
    <row r="17" customFormat="false" ht="15" hidden="false" customHeight="false" outlineLevel="0" collapsed="false">
      <c r="A17" s="4" t="s">
        <v>20</v>
      </c>
      <c r="B17" s="17" t="n">
        <f aca="false">MIN(Model!E52:AC52)</f>
        <v>1.33797869806891</v>
      </c>
    </row>
    <row r="18" customFormat="false" ht="15" hidden="false" customHeight="false" outlineLevel="0" collapsed="false">
      <c r="A18" s="4" t="s">
        <v>21</v>
      </c>
      <c r="B18" s="17" t="n">
        <f aca="false">AVERAGE(Model!E52:AC52)</f>
        <v>1.34225808361306</v>
      </c>
    </row>
    <row r="19" customFormat="false" ht="15" hidden="false" customHeight="false" outlineLevel="0" collapsed="false">
      <c r="A19" s="4" t="s">
        <v>22</v>
      </c>
      <c r="B19" s="17" t="n">
        <f aca="false">MIN(Model!E53:AC53)</f>
        <v>1.2</v>
      </c>
    </row>
    <row r="20" customFormat="false" ht="15" hidden="false" customHeight="false" outlineLevel="0" collapsed="false">
      <c r="A20" s="4" t="s">
        <v>23</v>
      </c>
      <c r="B20" s="17" t="n">
        <f aca="false">IF(Model!C30&gt;0,SUMPRODUCT(Model!E21:AC21,Model!E6:AC6,1/(1+Inputs!B25)^Model!E$4:AC$4)/Model!C30,0)</f>
        <v>1.34156208767313</v>
      </c>
    </row>
    <row r="21" customFormat="false" ht="15" hidden="false" customHeight="false" outlineLevel="0" collapsed="false">
      <c r="A21" s="4" t="s">
        <v>24</v>
      </c>
      <c r="B21" s="18" t="n">
        <f aca="false">IF(Model!C30&gt;0,SUMPRODUCT(Model!E50:AC50,Model!E$4:AC$4)/Model!C30,0)</f>
        <v>11.6613329269326</v>
      </c>
    </row>
    <row r="22" customFormat="false" ht="15" hidden="false" customHeight="false" outlineLevel="0" collapsed="false">
      <c r="A22" s="4" t="s">
        <v>25</v>
      </c>
      <c r="B22" s="17" t="n">
        <f aca="false">MIN(Model!E61:AC61)</f>
        <v>1.20520627606035</v>
      </c>
    </row>
    <row r="23" customFormat="false" ht="15" hidden="false" customHeight="false" outlineLevel="0" collapsed="false">
      <c r="A23" s="4" t="s">
        <v>26</v>
      </c>
      <c r="B23" s="17" t="n">
        <f aca="false">MIN(Model!E62:AC62)</f>
        <v>1.08091969876634</v>
      </c>
    </row>
    <row r="24" customFormat="false" ht="15" hidden="false" customHeight="false" outlineLevel="0" collapsed="false">
      <c r="A24" s="4" t="s">
        <v>27</v>
      </c>
      <c r="B24" s="18" t="n">
        <f aca="false">IF(Model!C41&gt;0,SUMPRODUCT(Model!E59:AC59,Model!E$4:AC$4)/Model!C41,0)</f>
        <v>12.5633377748748</v>
      </c>
    </row>
    <row r="25" customFormat="false" ht="15" hidden="false" customHeight="false" outlineLevel="0" collapsed="false">
      <c r="A25" s="4" t="s">
        <v>28</v>
      </c>
      <c r="B25" s="6" t="n">
        <f aca="false">IRR(Model!D65:AC65)</f>
        <v>0.0891371738808248</v>
      </c>
    </row>
    <row r="26" customFormat="false" ht="15" hidden="false" customHeight="false" outlineLevel="0" collapsed="false">
      <c r="A26" s="4" t="s">
        <v>29</v>
      </c>
      <c r="B26" s="6" t="n">
        <f aca="false">IRR(Model!D66:AC66,0.15)</f>
        <v>0.143157962475091</v>
      </c>
    </row>
    <row r="27" customFormat="false" ht="15" hidden="false" customHeight="false" outlineLevel="0" collapsed="false">
      <c r="A27" s="4" t="s">
        <v>30</v>
      </c>
      <c r="B27" s="19" t="n">
        <f aca="false">IF(Model!D66&lt;0,SUM(Model!E66:AC66)/-Model!D66,0)</f>
        <v>7.24292045455398</v>
      </c>
    </row>
    <row r="29" customFormat="false" ht="15" hidden="false" customHeight="false" outlineLevel="0" collapsed="false">
      <c r="A29" s="3" t="s">
        <v>31</v>
      </c>
      <c r="B29" s="3" t="s">
        <v>19</v>
      </c>
      <c r="C29" s="3" t="s">
        <v>32</v>
      </c>
      <c r="D29" s="3"/>
      <c r="E29" s="3"/>
      <c r="F29" s="3"/>
    </row>
    <row r="30" customFormat="false" ht="15" hidden="false" customHeight="false" outlineLevel="0" collapsed="false">
      <c r="A30" s="4" t="s">
        <v>33</v>
      </c>
      <c r="B30" s="20" t="n">
        <f aca="false">INDEX(Model!E51:AC51,Inputs!B24)</f>
        <v>2.1316282072803E-013</v>
      </c>
      <c r="C30" s="21" t="str">
        <f aca="false">IF(ABS(B30)&lt;0.001,"OK","CHECK")</f>
        <v>OK</v>
      </c>
    </row>
    <row r="31" customFormat="false" ht="15" hidden="false" customHeight="false" outlineLevel="0" collapsed="false">
      <c r="A31" s="4" t="s">
        <v>34</v>
      </c>
      <c r="B31" s="20" t="n">
        <f aca="false">INDEX(Model!E60:AC60,Inputs!B30)</f>
        <v>-3.86357612569555E-014</v>
      </c>
      <c r="C31" s="21" t="str">
        <f aca="false">IF(ABS(B31)&lt;0.001,"OK","CHECK")</f>
        <v>OK</v>
      </c>
    </row>
    <row r="32" customFormat="false" ht="15" hidden="false" customHeight="false" outlineLevel="0" collapsed="false">
      <c r="A32" s="4" t="s">
        <v>35</v>
      </c>
      <c r="B32" s="20" t="n">
        <f aca="false">B9-B14</f>
        <v>0</v>
      </c>
      <c r="C32" s="21" t="str">
        <f aca="false">IF(ABS(B32)&lt;0.001,"OK","CHECK")</f>
        <v>OK</v>
      </c>
    </row>
    <row r="33" customFormat="false" ht="15" hidden="false" customHeight="false" outlineLevel="0" collapsed="false">
      <c r="A33" s="4" t="s">
        <v>36</v>
      </c>
      <c r="B33" s="20" t="n">
        <f aca="false">MIN(Model!E50:AC50)</f>
        <v>-2.02172677052801E-014</v>
      </c>
      <c r="C33" s="21" t="str">
        <f aca="false">IF(B33&gt;=-0.001,"OK","CHECK")</f>
        <v>OK</v>
      </c>
    </row>
    <row r="34" customFormat="false" ht="15" hidden="false" customHeight="false" outlineLevel="0" collapsed="false">
      <c r="A34" s="4" t="s">
        <v>37</v>
      </c>
      <c r="B34" s="20" t="n">
        <f aca="false">MIN(Model!E59:AC59)</f>
        <v>3.86357612569555E-015</v>
      </c>
      <c r="C34" s="21" t="str">
        <f aca="false">IF(B34&gt;=-0.001,"OK","CHECK")</f>
        <v>OK</v>
      </c>
    </row>
    <row r="36" customFormat="false" ht="15" hidden="false" customHeight="false" outlineLevel="0" collapsed="false">
      <c r="A36" s="21" t="s">
        <v>38</v>
      </c>
    </row>
    <row r="37" customFormat="false" ht="15" hidden="false" customHeight="false" outlineLevel="0" collapsed="false">
      <c r="A37" s="22" t="s">
        <v>39</v>
      </c>
    </row>
    <row r="38" customFormat="false" ht="15" hidden="false" customHeight="false" outlineLevel="0" collapsed="false">
      <c r="A38" s="22" t="s">
        <v>40</v>
      </c>
    </row>
    <row r="39" customFormat="false" ht="15" hidden="false" customHeight="false" outlineLevel="0" collapsed="false">
      <c r="A39" s="22" t="s">
        <v>41</v>
      </c>
    </row>
    <row r="40" customFormat="false" ht="15" hidden="false" customHeight="false" outlineLevel="0" collapsed="false">
      <c r="A40" s="22"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11"/>
    <col collapsed="false" customWidth="true" hidden="false" outlineLevel="0" max="4" min="4" style="0" width="70"/>
  </cols>
  <sheetData>
    <row r="1" customFormat="false" ht="17.35" hidden="false" customHeight="false" outlineLevel="0" collapsed="false">
      <c r="A1" s="1" t="s">
        <v>43</v>
      </c>
    </row>
    <row r="2" customFormat="false" ht="15" hidden="false" customHeight="false" outlineLevel="0" collapsed="false">
      <c r="A2" s="2" t="s">
        <v>44</v>
      </c>
    </row>
    <row r="3" customFormat="false" ht="15" hidden="false" customHeight="false" outlineLevel="0" collapsed="false">
      <c r="A3" s="3" t="s">
        <v>45</v>
      </c>
      <c r="B3" s="3" t="s">
        <v>19</v>
      </c>
      <c r="C3" s="3" t="s">
        <v>46</v>
      </c>
      <c r="D3" s="3" t="s">
        <v>47</v>
      </c>
    </row>
    <row r="4" customFormat="false" ht="15" hidden="false" customHeight="false" outlineLevel="0" collapsed="false">
      <c r="A4" s="23" t="s">
        <v>48</v>
      </c>
      <c r="B4" s="24"/>
      <c r="C4" s="24"/>
      <c r="D4" s="24"/>
    </row>
    <row r="5" customFormat="false" ht="15" hidden="false" customHeight="false" outlineLevel="0" collapsed="false">
      <c r="A5" s="4" t="s">
        <v>49</v>
      </c>
      <c r="B5" s="25" t="n">
        <v>150</v>
      </c>
      <c r="C5" s="4" t="s">
        <v>50</v>
      </c>
      <c r="D5" s="26" t="s">
        <v>51</v>
      </c>
    </row>
    <row r="6" customFormat="false" ht="15" hidden="false" customHeight="false" outlineLevel="0" collapsed="false">
      <c r="A6" s="4" t="s">
        <v>52</v>
      </c>
      <c r="B6" s="27" t="n">
        <v>0.24</v>
      </c>
      <c r="C6" s="4" t="s">
        <v>53</v>
      </c>
      <c r="D6" s="26" t="s">
        <v>54</v>
      </c>
    </row>
    <row r="7" customFormat="false" ht="15" hidden="false" customHeight="false" outlineLevel="0" collapsed="false">
      <c r="A7" s="4" t="s">
        <v>55</v>
      </c>
      <c r="B7" s="27" t="n">
        <v>0.215</v>
      </c>
      <c r="C7" s="4" t="s">
        <v>53</v>
      </c>
      <c r="D7" s="26" t="s">
        <v>54</v>
      </c>
    </row>
    <row r="8" customFormat="false" ht="15" hidden="false" customHeight="false" outlineLevel="0" collapsed="false">
      <c r="A8" s="4" t="s">
        <v>56</v>
      </c>
      <c r="B8" s="27" t="n">
        <v>0.005</v>
      </c>
      <c r="C8" s="4" t="s">
        <v>53</v>
      </c>
      <c r="D8" s="26" t="s">
        <v>51</v>
      </c>
    </row>
    <row r="9" customFormat="false" ht="15" hidden="false" customHeight="false" outlineLevel="0" collapsed="false">
      <c r="A9" s="4" t="s">
        <v>57</v>
      </c>
      <c r="B9" s="25" t="n">
        <v>25</v>
      </c>
      <c r="C9" s="4" t="s">
        <v>58</v>
      </c>
      <c r="D9" s="26" t="s">
        <v>59</v>
      </c>
    </row>
    <row r="10" customFormat="false" ht="15" hidden="false" customHeight="false" outlineLevel="0" collapsed="false">
      <c r="A10" s="23" t="s">
        <v>60</v>
      </c>
      <c r="B10" s="24"/>
      <c r="C10" s="24"/>
      <c r="D10" s="24"/>
    </row>
    <row r="11" customFormat="false" ht="15" hidden="false" customHeight="false" outlineLevel="0" collapsed="false">
      <c r="A11" s="4" t="s">
        <v>61</v>
      </c>
      <c r="B11" s="28" t="n">
        <v>68</v>
      </c>
      <c r="C11" s="4" t="s">
        <v>62</v>
      </c>
      <c r="D11" s="26" t="s">
        <v>51</v>
      </c>
    </row>
    <row r="12" customFormat="false" ht="15" hidden="false" customHeight="false" outlineLevel="0" collapsed="false">
      <c r="A12" s="4" t="s">
        <v>63</v>
      </c>
      <c r="B12" s="27" t="n">
        <v>0.02</v>
      </c>
      <c r="C12" s="4" t="s">
        <v>64</v>
      </c>
      <c r="D12" s="26" t="s">
        <v>51</v>
      </c>
    </row>
    <row r="13" customFormat="false" ht="15" hidden="false" customHeight="false" outlineLevel="0" collapsed="false">
      <c r="A13" s="23" t="s">
        <v>65</v>
      </c>
      <c r="B13" s="24"/>
      <c r="C13" s="24"/>
      <c r="D13" s="24"/>
    </row>
    <row r="14" customFormat="false" ht="15" hidden="false" customHeight="false" outlineLevel="0" collapsed="false">
      <c r="A14" s="4" t="s">
        <v>66</v>
      </c>
      <c r="B14" s="28" t="n">
        <v>18</v>
      </c>
      <c r="C14" s="4" t="s">
        <v>67</v>
      </c>
      <c r="D14" s="26" t="s">
        <v>51</v>
      </c>
    </row>
    <row r="15" customFormat="false" ht="15" hidden="false" customHeight="false" outlineLevel="0" collapsed="false">
      <c r="A15" s="4" t="s">
        <v>68</v>
      </c>
      <c r="B15" s="27" t="n">
        <v>0.025</v>
      </c>
      <c r="C15" s="4" t="s">
        <v>64</v>
      </c>
      <c r="D15" s="26" t="s">
        <v>51</v>
      </c>
    </row>
    <row r="16" customFormat="false" ht="15" hidden="false" customHeight="false" outlineLevel="0" collapsed="false">
      <c r="A16" s="23" t="s">
        <v>69</v>
      </c>
      <c r="B16" s="24"/>
      <c r="C16" s="24"/>
      <c r="D16" s="24"/>
    </row>
    <row r="17" customFormat="false" ht="15" hidden="false" customHeight="false" outlineLevel="0" collapsed="false">
      <c r="A17" s="4" t="s">
        <v>15</v>
      </c>
      <c r="B17" s="29" t="n">
        <v>165</v>
      </c>
      <c r="C17" s="4" t="s">
        <v>3</v>
      </c>
      <c r="D17" s="26" t="s">
        <v>51</v>
      </c>
    </row>
    <row r="18" customFormat="false" ht="15" hidden="false" customHeight="false" outlineLevel="0" collapsed="false">
      <c r="A18" s="4" t="s">
        <v>70</v>
      </c>
      <c r="B18" s="29" t="n">
        <v>10</v>
      </c>
      <c r="C18" s="4" t="s">
        <v>3</v>
      </c>
      <c r="D18" s="26" t="s">
        <v>71</v>
      </c>
    </row>
    <row r="19" customFormat="false" ht="15" hidden="false" customHeight="false" outlineLevel="0" collapsed="false">
      <c r="A19" s="4" t="s">
        <v>72</v>
      </c>
      <c r="B19" s="10" t="n">
        <f aca="false">B17+B18</f>
        <v>175</v>
      </c>
      <c r="C19" s="4" t="s">
        <v>3</v>
      </c>
      <c r="D19" s="26" t="s">
        <v>73</v>
      </c>
    </row>
    <row r="20" customFormat="false" ht="15" hidden="false" customHeight="false" outlineLevel="0" collapsed="false">
      <c r="A20" s="23" t="s">
        <v>74</v>
      </c>
      <c r="B20" s="24"/>
      <c r="C20" s="24"/>
      <c r="D20" s="24"/>
    </row>
    <row r="21" customFormat="false" ht="15" hidden="false" customHeight="false" outlineLevel="0" collapsed="false">
      <c r="A21" s="4" t="s">
        <v>75</v>
      </c>
      <c r="B21" s="27" t="n">
        <v>0.25</v>
      </c>
      <c r="C21" s="4" t="s">
        <v>53</v>
      </c>
      <c r="D21" s="26" t="s">
        <v>51</v>
      </c>
    </row>
    <row r="22" customFormat="false" ht="15" hidden="false" customHeight="false" outlineLevel="0" collapsed="false">
      <c r="A22" s="4" t="s">
        <v>76</v>
      </c>
      <c r="B22" s="25" t="n">
        <v>20</v>
      </c>
      <c r="C22" s="4" t="s">
        <v>58</v>
      </c>
      <c r="D22" s="26" t="s">
        <v>77</v>
      </c>
    </row>
    <row r="23" customFormat="false" ht="15" hidden="false" customHeight="false" outlineLevel="0" collapsed="false">
      <c r="A23" s="23" t="s">
        <v>78</v>
      </c>
      <c r="B23" s="24"/>
      <c r="C23" s="24"/>
      <c r="D23" s="24"/>
    </row>
    <row r="24" customFormat="false" ht="15" hidden="false" customHeight="false" outlineLevel="0" collapsed="false">
      <c r="A24" s="4" t="s">
        <v>79</v>
      </c>
      <c r="B24" s="25" t="n">
        <v>18</v>
      </c>
      <c r="C24" s="4" t="s">
        <v>58</v>
      </c>
      <c r="D24" s="26" t="s">
        <v>51</v>
      </c>
    </row>
    <row r="25" customFormat="false" ht="15" hidden="false" customHeight="false" outlineLevel="0" collapsed="false">
      <c r="A25" s="4" t="s">
        <v>80</v>
      </c>
      <c r="B25" s="27" t="n">
        <v>0.065</v>
      </c>
      <c r="C25" s="4" t="s">
        <v>64</v>
      </c>
      <c r="D25" s="26" t="s">
        <v>81</v>
      </c>
    </row>
    <row r="26" customFormat="false" ht="15" hidden="false" customHeight="false" outlineLevel="0" collapsed="false">
      <c r="A26" s="4" t="s">
        <v>82</v>
      </c>
      <c r="B26" s="30" t="n">
        <v>1.3</v>
      </c>
      <c r="C26" s="4" t="s">
        <v>83</v>
      </c>
      <c r="D26" s="26" t="s">
        <v>84</v>
      </c>
    </row>
    <row r="27" customFormat="false" ht="15" hidden="false" customHeight="false" outlineLevel="0" collapsed="false">
      <c r="A27" s="4" t="s">
        <v>85</v>
      </c>
      <c r="B27" s="30" t="n">
        <v>1.2</v>
      </c>
      <c r="C27" s="4" t="s">
        <v>83</v>
      </c>
      <c r="D27" s="26" t="s">
        <v>86</v>
      </c>
    </row>
    <row r="28" customFormat="false" ht="15" hidden="false" customHeight="false" outlineLevel="0" collapsed="false">
      <c r="A28" s="4" t="s">
        <v>87</v>
      </c>
      <c r="B28" s="31" t="n">
        <v>0.8</v>
      </c>
      <c r="C28" s="4" t="s">
        <v>88</v>
      </c>
      <c r="D28" s="26" t="s">
        <v>89</v>
      </c>
    </row>
    <row r="29" customFormat="false" ht="15" hidden="false" customHeight="false" outlineLevel="0" collapsed="false">
      <c r="A29" s="23" t="s">
        <v>90</v>
      </c>
      <c r="B29" s="24"/>
      <c r="C29" s="24"/>
      <c r="D29" s="24"/>
    </row>
    <row r="30" customFormat="false" ht="15" hidden="false" customHeight="false" outlineLevel="0" collapsed="false">
      <c r="A30" s="4" t="s">
        <v>79</v>
      </c>
      <c r="B30" s="25" t="n">
        <v>18</v>
      </c>
      <c r="C30" s="4" t="s">
        <v>58</v>
      </c>
      <c r="D30" s="26" t="s">
        <v>91</v>
      </c>
    </row>
    <row r="31" customFormat="false" ht="15" hidden="false" customHeight="false" outlineLevel="0" collapsed="false">
      <c r="A31" s="4" t="s">
        <v>92</v>
      </c>
      <c r="B31" s="27" t="n">
        <v>0.1</v>
      </c>
      <c r="C31" s="4" t="s">
        <v>64</v>
      </c>
      <c r="D31" s="26" t="s">
        <v>51</v>
      </c>
    </row>
    <row r="32" customFormat="false" ht="15" hidden="false" customHeight="false" outlineLevel="0" collapsed="false">
      <c r="A32" s="4" t="s">
        <v>93</v>
      </c>
      <c r="B32" s="30" t="n">
        <v>1.15</v>
      </c>
      <c r="C32" s="4" t="s">
        <v>83</v>
      </c>
      <c r="D32" s="26" t="s">
        <v>94</v>
      </c>
    </row>
    <row r="33" customFormat="false" ht="15" hidden="false" customHeight="false" outlineLevel="0" collapsed="false">
      <c r="A33" s="4" t="s">
        <v>95</v>
      </c>
      <c r="B33" s="30" t="n">
        <v>1.05</v>
      </c>
      <c r="C33" s="4" t="s">
        <v>83</v>
      </c>
      <c r="D33" s="26" t="s">
        <v>94</v>
      </c>
    </row>
    <row r="34" customFormat="false" ht="15" hidden="false" customHeight="false" outlineLevel="0" collapsed="false">
      <c r="A34" s="4" t="s">
        <v>96</v>
      </c>
      <c r="B34" s="31" t="n">
        <v>0.85</v>
      </c>
      <c r="C34" s="4" t="s">
        <v>88</v>
      </c>
      <c r="D34" s="26"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8"/>
    <col collapsed="false" customWidth="true" hidden="false" outlineLevel="0" max="3" min="3" style="0" width="13"/>
    <col collapsed="false" customWidth="true" hidden="false" outlineLevel="0" max="29" min="4" style="0" width="10"/>
  </cols>
  <sheetData>
    <row r="1" customFormat="false" ht="17.35" hidden="false" customHeight="false" outlineLevel="0" collapsed="false">
      <c r="A1" s="1" t="s">
        <v>98</v>
      </c>
    </row>
    <row r="2" customFormat="false" ht="15" hidden="false" customHeight="false" outlineLevel="0" collapsed="false">
      <c r="A2" s="2" t="s">
        <v>99</v>
      </c>
    </row>
    <row r="4" customFormat="false" ht="15" hidden="false" customHeight="false" outlineLevel="0" collapsed="false">
      <c r="A4" s="32" t="s">
        <v>100</v>
      </c>
      <c r="B4" s="32" t="s">
        <v>46</v>
      </c>
      <c r="C4" s="33" t="s">
        <v>101</v>
      </c>
      <c r="D4" s="34" t="n">
        <v>0</v>
      </c>
      <c r="E4" s="35" t="n">
        <f aca="false">D4+1</f>
        <v>1</v>
      </c>
      <c r="F4" s="35" t="n">
        <f aca="false">E4+1</f>
        <v>2</v>
      </c>
      <c r="G4" s="35" t="n">
        <f aca="false">F4+1</f>
        <v>3</v>
      </c>
      <c r="H4" s="35" t="n">
        <f aca="false">G4+1</f>
        <v>4</v>
      </c>
      <c r="I4" s="35" t="n">
        <f aca="false">H4+1</f>
        <v>5</v>
      </c>
      <c r="J4" s="35" t="n">
        <f aca="false">I4+1</f>
        <v>6</v>
      </c>
      <c r="K4" s="35" t="n">
        <f aca="false">J4+1</f>
        <v>7</v>
      </c>
      <c r="L4" s="35" t="n">
        <f aca="false">K4+1</f>
        <v>8</v>
      </c>
      <c r="M4" s="35" t="n">
        <f aca="false">L4+1</f>
        <v>9</v>
      </c>
      <c r="N4" s="35" t="n">
        <f aca="false">M4+1</f>
        <v>10</v>
      </c>
      <c r="O4" s="35" t="n">
        <f aca="false">N4+1</f>
        <v>11</v>
      </c>
      <c r="P4" s="35" t="n">
        <f aca="false">O4+1</f>
        <v>12</v>
      </c>
      <c r="Q4" s="35" t="n">
        <f aca="false">P4+1</f>
        <v>13</v>
      </c>
      <c r="R4" s="35" t="n">
        <f aca="false">Q4+1</f>
        <v>14</v>
      </c>
      <c r="S4" s="35" t="n">
        <f aca="false">R4+1</f>
        <v>15</v>
      </c>
      <c r="T4" s="35" t="n">
        <f aca="false">S4+1</f>
        <v>16</v>
      </c>
      <c r="U4" s="35" t="n">
        <f aca="false">T4+1</f>
        <v>17</v>
      </c>
      <c r="V4" s="35" t="n">
        <f aca="false">U4+1</f>
        <v>18</v>
      </c>
      <c r="W4" s="35" t="n">
        <f aca="false">V4+1</f>
        <v>19</v>
      </c>
      <c r="X4" s="35" t="n">
        <f aca="false">W4+1</f>
        <v>20</v>
      </c>
      <c r="Y4" s="35" t="n">
        <f aca="false">X4+1</f>
        <v>21</v>
      </c>
      <c r="Z4" s="35" t="n">
        <f aca="false">Y4+1</f>
        <v>22</v>
      </c>
      <c r="AA4" s="35" t="n">
        <f aca="false">Z4+1</f>
        <v>23</v>
      </c>
      <c r="AB4" s="35" t="n">
        <f aca="false">AA4+1</f>
        <v>24</v>
      </c>
      <c r="AC4" s="35" t="n">
        <f aca="false">AB4+1</f>
        <v>25</v>
      </c>
    </row>
    <row r="5" customFormat="false" ht="15" hidden="false" customHeight="false" outlineLevel="0" collapsed="false">
      <c r="A5" s="4" t="s">
        <v>102</v>
      </c>
      <c r="B5" s="4" t="s">
        <v>103</v>
      </c>
      <c r="E5" s="36" t="n">
        <f aca="false">IF(AND(E$4&gt;=1,E$4&lt;=Inputs!$B$9),1,0)</f>
        <v>1</v>
      </c>
      <c r="F5" s="36" t="n">
        <f aca="false">IF(AND(F$4&gt;=1,F$4&lt;=Inputs!$B$9),1,0)</f>
        <v>1</v>
      </c>
      <c r="G5" s="36" t="n">
        <f aca="false">IF(AND(G$4&gt;=1,G$4&lt;=Inputs!$B$9),1,0)</f>
        <v>1</v>
      </c>
      <c r="H5" s="36" t="n">
        <f aca="false">IF(AND(H$4&gt;=1,H$4&lt;=Inputs!$B$9),1,0)</f>
        <v>1</v>
      </c>
      <c r="I5" s="36" t="n">
        <f aca="false">IF(AND(I$4&gt;=1,I$4&lt;=Inputs!$B$9),1,0)</f>
        <v>1</v>
      </c>
      <c r="J5" s="36" t="n">
        <f aca="false">IF(AND(J$4&gt;=1,J$4&lt;=Inputs!$B$9),1,0)</f>
        <v>1</v>
      </c>
      <c r="K5" s="36" t="n">
        <f aca="false">IF(AND(K$4&gt;=1,K$4&lt;=Inputs!$B$9),1,0)</f>
        <v>1</v>
      </c>
      <c r="L5" s="36" t="n">
        <f aca="false">IF(AND(L$4&gt;=1,L$4&lt;=Inputs!$B$9),1,0)</f>
        <v>1</v>
      </c>
      <c r="M5" s="36" t="n">
        <f aca="false">IF(AND(M$4&gt;=1,M$4&lt;=Inputs!$B$9),1,0)</f>
        <v>1</v>
      </c>
      <c r="N5" s="36" t="n">
        <f aca="false">IF(AND(N$4&gt;=1,N$4&lt;=Inputs!$B$9),1,0)</f>
        <v>1</v>
      </c>
      <c r="O5" s="36" t="n">
        <f aca="false">IF(AND(O$4&gt;=1,O$4&lt;=Inputs!$B$9),1,0)</f>
        <v>1</v>
      </c>
      <c r="P5" s="36" t="n">
        <f aca="false">IF(AND(P$4&gt;=1,P$4&lt;=Inputs!$B$9),1,0)</f>
        <v>1</v>
      </c>
      <c r="Q5" s="36" t="n">
        <f aca="false">IF(AND(Q$4&gt;=1,Q$4&lt;=Inputs!$B$9),1,0)</f>
        <v>1</v>
      </c>
      <c r="R5" s="36" t="n">
        <f aca="false">IF(AND(R$4&gt;=1,R$4&lt;=Inputs!$B$9),1,0)</f>
        <v>1</v>
      </c>
      <c r="S5" s="36" t="n">
        <f aca="false">IF(AND(S$4&gt;=1,S$4&lt;=Inputs!$B$9),1,0)</f>
        <v>1</v>
      </c>
      <c r="T5" s="36" t="n">
        <f aca="false">IF(AND(T$4&gt;=1,T$4&lt;=Inputs!$B$9),1,0)</f>
        <v>1</v>
      </c>
      <c r="U5" s="36" t="n">
        <f aca="false">IF(AND(U$4&gt;=1,U$4&lt;=Inputs!$B$9),1,0)</f>
        <v>1</v>
      </c>
      <c r="V5" s="36" t="n">
        <f aca="false">IF(AND(V$4&gt;=1,V$4&lt;=Inputs!$B$9),1,0)</f>
        <v>1</v>
      </c>
      <c r="W5" s="36" t="n">
        <f aca="false">IF(AND(W$4&gt;=1,W$4&lt;=Inputs!$B$9),1,0)</f>
        <v>1</v>
      </c>
      <c r="X5" s="36" t="n">
        <f aca="false">IF(AND(X$4&gt;=1,X$4&lt;=Inputs!$B$9),1,0)</f>
        <v>1</v>
      </c>
      <c r="Y5" s="36" t="n">
        <f aca="false">IF(AND(Y$4&gt;=1,Y$4&lt;=Inputs!$B$9),1,0)</f>
        <v>1</v>
      </c>
      <c r="Z5" s="36" t="n">
        <f aca="false">IF(AND(Z$4&gt;=1,Z$4&lt;=Inputs!$B$9),1,0)</f>
        <v>1</v>
      </c>
      <c r="AA5" s="36" t="n">
        <f aca="false">IF(AND(AA$4&gt;=1,AA$4&lt;=Inputs!$B$9),1,0)</f>
        <v>1</v>
      </c>
      <c r="AB5" s="36" t="n">
        <f aca="false">IF(AND(AB$4&gt;=1,AB$4&lt;=Inputs!$B$9),1,0)</f>
        <v>1</v>
      </c>
      <c r="AC5" s="36" t="n">
        <f aca="false">IF(AND(AC$4&gt;=1,AC$4&lt;=Inputs!$B$9),1,0)</f>
        <v>1</v>
      </c>
    </row>
    <row r="6" customFormat="false" ht="15" hidden="false" customHeight="false" outlineLevel="0" collapsed="false">
      <c r="A6" s="4" t="s">
        <v>104</v>
      </c>
      <c r="B6" s="4" t="s">
        <v>103</v>
      </c>
      <c r="E6" s="36" t="n">
        <f aca="false">IF(AND(E$4&gt;=1,E$4&lt;=Inputs!$B$24),1,0)</f>
        <v>1</v>
      </c>
      <c r="F6" s="36" t="n">
        <f aca="false">IF(AND(F$4&gt;=1,F$4&lt;=Inputs!$B$24),1,0)</f>
        <v>1</v>
      </c>
      <c r="G6" s="36" t="n">
        <f aca="false">IF(AND(G$4&gt;=1,G$4&lt;=Inputs!$B$24),1,0)</f>
        <v>1</v>
      </c>
      <c r="H6" s="36" t="n">
        <f aca="false">IF(AND(H$4&gt;=1,H$4&lt;=Inputs!$B$24),1,0)</f>
        <v>1</v>
      </c>
      <c r="I6" s="36" t="n">
        <f aca="false">IF(AND(I$4&gt;=1,I$4&lt;=Inputs!$B$24),1,0)</f>
        <v>1</v>
      </c>
      <c r="J6" s="36" t="n">
        <f aca="false">IF(AND(J$4&gt;=1,J$4&lt;=Inputs!$B$24),1,0)</f>
        <v>1</v>
      </c>
      <c r="K6" s="36" t="n">
        <f aca="false">IF(AND(K$4&gt;=1,K$4&lt;=Inputs!$B$24),1,0)</f>
        <v>1</v>
      </c>
      <c r="L6" s="36" t="n">
        <f aca="false">IF(AND(L$4&gt;=1,L$4&lt;=Inputs!$B$24),1,0)</f>
        <v>1</v>
      </c>
      <c r="M6" s="36" t="n">
        <f aca="false">IF(AND(M$4&gt;=1,M$4&lt;=Inputs!$B$24),1,0)</f>
        <v>1</v>
      </c>
      <c r="N6" s="36" t="n">
        <f aca="false">IF(AND(N$4&gt;=1,N$4&lt;=Inputs!$B$24),1,0)</f>
        <v>1</v>
      </c>
      <c r="O6" s="36" t="n">
        <f aca="false">IF(AND(O$4&gt;=1,O$4&lt;=Inputs!$B$24),1,0)</f>
        <v>1</v>
      </c>
      <c r="P6" s="36" t="n">
        <f aca="false">IF(AND(P$4&gt;=1,P$4&lt;=Inputs!$B$24),1,0)</f>
        <v>1</v>
      </c>
      <c r="Q6" s="36" t="n">
        <f aca="false">IF(AND(Q$4&gt;=1,Q$4&lt;=Inputs!$B$24),1,0)</f>
        <v>1</v>
      </c>
      <c r="R6" s="36" t="n">
        <f aca="false">IF(AND(R$4&gt;=1,R$4&lt;=Inputs!$B$24),1,0)</f>
        <v>1</v>
      </c>
      <c r="S6" s="36" t="n">
        <f aca="false">IF(AND(S$4&gt;=1,S$4&lt;=Inputs!$B$24),1,0)</f>
        <v>1</v>
      </c>
      <c r="T6" s="36" t="n">
        <f aca="false">IF(AND(T$4&gt;=1,T$4&lt;=Inputs!$B$24),1,0)</f>
        <v>1</v>
      </c>
      <c r="U6" s="36" t="n">
        <f aca="false">IF(AND(U$4&gt;=1,U$4&lt;=Inputs!$B$24),1,0)</f>
        <v>1</v>
      </c>
      <c r="V6" s="36" t="n">
        <f aca="false">IF(AND(V$4&gt;=1,V$4&lt;=Inputs!$B$24),1,0)</f>
        <v>1</v>
      </c>
      <c r="W6" s="36" t="n">
        <f aca="false">IF(AND(W$4&gt;=1,W$4&lt;=Inputs!$B$24),1,0)</f>
        <v>0</v>
      </c>
      <c r="X6" s="36" t="n">
        <f aca="false">IF(AND(X$4&gt;=1,X$4&lt;=Inputs!$B$24),1,0)</f>
        <v>0</v>
      </c>
      <c r="Y6" s="36" t="n">
        <f aca="false">IF(AND(Y$4&gt;=1,Y$4&lt;=Inputs!$B$24),1,0)</f>
        <v>0</v>
      </c>
      <c r="Z6" s="36" t="n">
        <f aca="false">IF(AND(Z$4&gt;=1,Z$4&lt;=Inputs!$B$24),1,0)</f>
        <v>0</v>
      </c>
      <c r="AA6" s="36" t="n">
        <f aca="false">IF(AND(AA$4&gt;=1,AA$4&lt;=Inputs!$B$24),1,0)</f>
        <v>0</v>
      </c>
      <c r="AB6" s="36" t="n">
        <f aca="false">IF(AND(AB$4&gt;=1,AB$4&lt;=Inputs!$B$24),1,0)</f>
        <v>0</v>
      </c>
      <c r="AC6" s="36" t="n">
        <f aca="false">IF(AND(AC$4&gt;=1,AC$4&lt;=Inputs!$B$24),1,0)</f>
        <v>0</v>
      </c>
    </row>
    <row r="7" customFormat="false" ht="15" hidden="false" customHeight="false" outlineLevel="0" collapsed="false">
      <c r="A7" s="4" t="s">
        <v>105</v>
      </c>
      <c r="B7" s="4" t="s">
        <v>103</v>
      </c>
      <c r="E7" s="36" t="n">
        <f aca="false">IF(AND(E$4&gt;=1,E$4&lt;=Inputs!$B$30),1,0)</f>
        <v>1</v>
      </c>
      <c r="F7" s="36" t="n">
        <f aca="false">IF(AND(F$4&gt;=1,F$4&lt;=Inputs!$B$30),1,0)</f>
        <v>1</v>
      </c>
      <c r="G7" s="36" t="n">
        <f aca="false">IF(AND(G$4&gt;=1,G$4&lt;=Inputs!$B$30),1,0)</f>
        <v>1</v>
      </c>
      <c r="H7" s="36" t="n">
        <f aca="false">IF(AND(H$4&gt;=1,H$4&lt;=Inputs!$B$30),1,0)</f>
        <v>1</v>
      </c>
      <c r="I7" s="36" t="n">
        <f aca="false">IF(AND(I$4&gt;=1,I$4&lt;=Inputs!$B$30),1,0)</f>
        <v>1</v>
      </c>
      <c r="J7" s="36" t="n">
        <f aca="false">IF(AND(J$4&gt;=1,J$4&lt;=Inputs!$B$30),1,0)</f>
        <v>1</v>
      </c>
      <c r="K7" s="36" t="n">
        <f aca="false">IF(AND(K$4&gt;=1,K$4&lt;=Inputs!$B$30),1,0)</f>
        <v>1</v>
      </c>
      <c r="L7" s="36" t="n">
        <f aca="false">IF(AND(L$4&gt;=1,L$4&lt;=Inputs!$B$30),1,0)</f>
        <v>1</v>
      </c>
      <c r="M7" s="36" t="n">
        <f aca="false">IF(AND(M$4&gt;=1,M$4&lt;=Inputs!$B$30),1,0)</f>
        <v>1</v>
      </c>
      <c r="N7" s="36" t="n">
        <f aca="false">IF(AND(N$4&gt;=1,N$4&lt;=Inputs!$B$30),1,0)</f>
        <v>1</v>
      </c>
      <c r="O7" s="36" t="n">
        <f aca="false">IF(AND(O$4&gt;=1,O$4&lt;=Inputs!$B$30),1,0)</f>
        <v>1</v>
      </c>
      <c r="P7" s="36" t="n">
        <f aca="false">IF(AND(P$4&gt;=1,P$4&lt;=Inputs!$B$30),1,0)</f>
        <v>1</v>
      </c>
      <c r="Q7" s="36" t="n">
        <f aca="false">IF(AND(Q$4&gt;=1,Q$4&lt;=Inputs!$B$30),1,0)</f>
        <v>1</v>
      </c>
      <c r="R7" s="36" t="n">
        <f aca="false">IF(AND(R$4&gt;=1,R$4&lt;=Inputs!$B$30),1,0)</f>
        <v>1</v>
      </c>
      <c r="S7" s="36" t="n">
        <f aca="false">IF(AND(S$4&gt;=1,S$4&lt;=Inputs!$B$30),1,0)</f>
        <v>1</v>
      </c>
      <c r="T7" s="36" t="n">
        <f aca="false">IF(AND(T$4&gt;=1,T$4&lt;=Inputs!$B$30),1,0)</f>
        <v>1</v>
      </c>
      <c r="U7" s="36" t="n">
        <f aca="false">IF(AND(U$4&gt;=1,U$4&lt;=Inputs!$B$30),1,0)</f>
        <v>1</v>
      </c>
      <c r="V7" s="36" t="n">
        <f aca="false">IF(AND(V$4&gt;=1,V$4&lt;=Inputs!$B$30),1,0)</f>
        <v>1</v>
      </c>
      <c r="W7" s="36" t="n">
        <f aca="false">IF(AND(W$4&gt;=1,W$4&lt;=Inputs!$B$30),1,0)</f>
        <v>0</v>
      </c>
      <c r="X7" s="36" t="n">
        <f aca="false">IF(AND(X$4&gt;=1,X$4&lt;=Inputs!$B$30),1,0)</f>
        <v>0</v>
      </c>
      <c r="Y7" s="36" t="n">
        <f aca="false">IF(AND(Y$4&gt;=1,Y$4&lt;=Inputs!$B$30),1,0)</f>
        <v>0</v>
      </c>
      <c r="Z7" s="36" t="n">
        <f aca="false">IF(AND(Z$4&gt;=1,Z$4&lt;=Inputs!$B$30),1,0)</f>
        <v>0</v>
      </c>
      <c r="AA7" s="36" t="n">
        <f aca="false">IF(AND(AA$4&gt;=1,AA$4&lt;=Inputs!$B$30),1,0)</f>
        <v>0</v>
      </c>
      <c r="AB7" s="36" t="n">
        <f aca="false">IF(AND(AB$4&gt;=1,AB$4&lt;=Inputs!$B$30),1,0)</f>
        <v>0</v>
      </c>
      <c r="AC7" s="36" t="n">
        <f aca="false">IF(AND(AC$4&gt;=1,AC$4&lt;=Inputs!$B$30),1,0)</f>
        <v>0</v>
      </c>
    </row>
    <row r="9" customFormat="false" ht="15" hidden="false" customHeight="false" outlineLevel="0" collapsed="false">
      <c r="A9" s="23" t="s">
        <v>106</v>
      </c>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row>
    <row r="10" customFormat="false" ht="15" hidden="false" customHeight="false" outlineLevel="0" collapsed="false">
      <c r="A10" s="4" t="s">
        <v>107</v>
      </c>
      <c r="B10" s="4" t="s">
        <v>108</v>
      </c>
      <c r="C10" s="37" t="n">
        <f aca="false">SUM(E10:AC10)</f>
        <v>7428604.8367332</v>
      </c>
      <c r="E10" s="37" t="n">
        <f aca="false">Inputs!$B$5*Inputs!$B$6*8760*(1-Inputs!$B$8)^(E$4-1)*E$5</f>
        <v>315360</v>
      </c>
      <c r="F10" s="37" t="n">
        <f aca="false">Inputs!$B$5*Inputs!$B$6*8760*(1-Inputs!$B$8)^(F$4-1)*F$5</f>
        <v>313783.2</v>
      </c>
      <c r="G10" s="37" t="n">
        <f aca="false">Inputs!$B$5*Inputs!$B$6*8760*(1-Inputs!$B$8)^(G$4-1)*G$5</f>
        <v>312214.284</v>
      </c>
      <c r="H10" s="37" t="n">
        <f aca="false">Inputs!$B$5*Inputs!$B$6*8760*(1-Inputs!$B$8)^(H$4-1)*H$5</f>
        <v>310653.21258</v>
      </c>
      <c r="I10" s="37" t="n">
        <f aca="false">Inputs!$B$5*Inputs!$B$6*8760*(1-Inputs!$B$8)^(I$4-1)*I$5</f>
        <v>309099.9465171</v>
      </c>
      <c r="J10" s="37" t="n">
        <f aca="false">Inputs!$B$5*Inputs!$B$6*8760*(1-Inputs!$B$8)^(J$4-1)*J$5</f>
        <v>307554.446784514</v>
      </c>
      <c r="K10" s="37" t="n">
        <f aca="false">Inputs!$B$5*Inputs!$B$6*8760*(1-Inputs!$B$8)^(K$4-1)*K$5</f>
        <v>306016.674550592</v>
      </c>
      <c r="L10" s="37" t="n">
        <f aca="false">Inputs!$B$5*Inputs!$B$6*8760*(1-Inputs!$B$8)^(L$4-1)*L$5</f>
        <v>304486.591177839</v>
      </c>
      <c r="M10" s="37" t="n">
        <f aca="false">Inputs!$B$5*Inputs!$B$6*8760*(1-Inputs!$B$8)^(M$4-1)*M$5</f>
        <v>302964.15822195</v>
      </c>
      <c r="N10" s="37" t="n">
        <f aca="false">Inputs!$B$5*Inputs!$B$6*8760*(1-Inputs!$B$8)^(N$4-1)*N$5</f>
        <v>301449.33743084</v>
      </c>
      <c r="O10" s="37" t="n">
        <f aca="false">Inputs!$B$5*Inputs!$B$6*8760*(1-Inputs!$B$8)^(O$4-1)*O$5</f>
        <v>299942.090743686</v>
      </c>
      <c r="P10" s="37" t="n">
        <f aca="false">Inputs!$B$5*Inputs!$B$6*8760*(1-Inputs!$B$8)^(P$4-1)*P$5</f>
        <v>298442.380289967</v>
      </c>
      <c r="Q10" s="37" t="n">
        <f aca="false">Inputs!$B$5*Inputs!$B$6*8760*(1-Inputs!$B$8)^(Q$4-1)*Q$5</f>
        <v>296950.168388518</v>
      </c>
      <c r="R10" s="37" t="n">
        <f aca="false">Inputs!$B$5*Inputs!$B$6*8760*(1-Inputs!$B$8)^(R$4-1)*R$5</f>
        <v>295465.417546575</v>
      </c>
      <c r="S10" s="37" t="n">
        <f aca="false">Inputs!$B$5*Inputs!$B$6*8760*(1-Inputs!$B$8)^(S$4-1)*S$5</f>
        <v>293988.090458842</v>
      </c>
      <c r="T10" s="37" t="n">
        <f aca="false">Inputs!$B$5*Inputs!$B$6*8760*(1-Inputs!$B$8)^(T$4-1)*T$5</f>
        <v>292518.150006548</v>
      </c>
      <c r="U10" s="37" t="n">
        <f aca="false">Inputs!$B$5*Inputs!$B$6*8760*(1-Inputs!$B$8)^(U$4-1)*U$5</f>
        <v>291055.559256515</v>
      </c>
      <c r="V10" s="37" t="n">
        <f aca="false">Inputs!$B$5*Inputs!$B$6*8760*(1-Inputs!$B$8)^(V$4-1)*V$5</f>
        <v>289600.281460233</v>
      </c>
      <c r="W10" s="37" t="n">
        <f aca="false">Inputs!$B$5*Inputs!$B$6*8760*(1-Inputs!$B$8)^(W$4-1)*W$5</f>
        <v>288152.280052931</v>
      </c>
      <c r="X10" s="37" t="n">
        <f aca="false">Inputs!$B$5*Inputs!$B$6*8760*(1-Inputs!$B$8)^(X$4-1)*X$5</f>
        <v>286711.518652667</v>
      </c>
      <c r="Y10" s="37" t="n">
        <f aca="false">Inputs!$B$5*Inputs!$B$6*8760*(1-Inputs!$B$8)^(Y$4-1)*Y$5</f>
        <v>285277.961059403</v>
      </c>
      <c r="Z10" s="37" t="n">
        <f aca="false">Inputs!$B$5*Inputs!$B$6*8760*(1-Inputs!$B$8)^(Z$4-1)*Z$5</f>
        <v>283851.571254106</v>
      </c>
      <c r="AA10" s="37" t="n">
        <f aca="false">Inputs!$B$5*Inputs!$B$6*8760*(1-Inputs!$B$8)^(AA$4-1)*AA$5</f>
        <v>282432.313397836</v>
      </c>
      <c r="AB10" s="37" t="n">
        <f aca="false">Inputs!$B$5*Inputs!$B$6*8760*(1-Inputs!$B$8)^(AB$4-1)*AB$5</f>
        <v>281020.151830847</v>
      </c>
      <c r="AC10" s="37" t="n">
        <f aca="false">Inputs!$B$5*Inputs!$B$6*8760*(1-Inputs!$B$8)^(AC$4-1)*AC$5</f>
        <v>279615.051071692</v>
      </c>
    </row>
    <row r="11" customFormat="false" ht="15" hidden="false" customHeight="false" outlineLevel="0" collapsed="false">
      <c r="A11" s="4" t="s">
        <v>109</v>
      </c>
      <c r="B11" s="4" t="s">
        <v>108</v>
      </c>
      <c r="C11" s="37" t="n">
        <f aca="false">SUM(E11:AC11)</f>
        <v>6654791.83290683</v>
      </c>
      <c r="E11" s="37" t="n">
        <f aca="false">Inputs!$B$5*Inputs!$B$7*8760*(1-Inputs!$B$8)^(E$4-1)*E$5</f>
        <v>282510</v>
      </c>
      <c r="F11" s="37" t="n">
        <f aca="false">Inputs!$B$5*Inputs!$B$7*8760*(1-Inputs!$B$8)^(F$4-1)*F$5</f>
        <v>281097.45</v>
      </c>
      <c r="G11" s="37" t="n">
        <f aca="false">Inputs!$B$5*Inputs!$B$7*8760*(1-Inputs!$B$8)^(G$4-1)*G$5</f>
        <v>279691.96275</v>
      </c>
      <c r="H11" s="37" t="n">
        <f aca="false">Inputs!$B$5*Inputs!$B$7*8760*(1-Inputs!$B$8)^(H$4-1)*H$5</f>
        <v>278293.50293625</v>
      </c>
      <c r="I11" s="37" t="n">
        <f aca="false">Inputs!$B$5*Inputs!$B$7*8760*(1-Inputs!$B$8)^(I$4-1)*I$5</f>
        <v>276902.035421569</v>
      </c>
      <c r="J11" s="37" t="n">
        <f aca="false">Inputs!$B$5*Inputs!$B$7*8760*(1-Inputs!$B$8)^(J$4-1)*J$5</f>
        <v>275517.525244461</v>
      </c>
      <c r="K11" s="37" t="n">
        <f aca="false">Inputs!$B$5*Inputs!$B$7*8760*(1-Inputs!$B$8)^(K$4-1)*K$5</f>
        <v>274139.937618239</v>
      </c>
      <c r="L11" s="37" t="n">
        <f aca="false">Inputs!$B$5*Inputs!$B$7*8760*(1-Inputs!$B$8)^(L$4-1)*L$5</f>
        <v>272769.237930147</v>
      </c>
      <c r="M11" s="37" t="n">
        <f aca="false">Inputs!$B$5*Inputs!$B$7*8760*(1-Inputs!$B$8)^(M$4-1)*M$5</f>
        <v>271405.391740497</v>
      </c>
      <c r="N11" s="37" t="n">
        <f aca="false">Inputs!$B$5*Inputs!$B$7*8760*(1-Inputs!$B$8)^(N$4-1)*N$5</f>
        <v>270048.364781794</v>
      </c>
      <c r="O11" s="37" t="n">
        <f aca="false">Inputs!$B$5*Inputs!$B$7*8760*(1-Inputs!$B$8)^(O$4-1)*O$5</f>
        <v>268698.122957885</v>
      </c>
      <c r="P11" s="37" t="n">
        <f aca="false">Inputs!$B$5*Inputs!$B$7*8760*(1-Inputs!$B$8)^(P$4-1)*P$5</f>
        <v>267354.632343096</v>
      </c>
      <c r="Q11" s="37" t="n">
        <f aca="false">Inputs!$B$5*Inputs!$B$7*8760*(1-Inputs!$B$8)^(Q$4-1)*Q$5</f>
        <v>266017.85918138</v>
      </c>
      <c r="R11" s="37" t="n">
        <f aca="false">Inputs!$B$5*Inputs!$B$7*8760*(1-Inputs!$B$8)^(R$4-1)*R$5</f>
        <v>264687.769885473</v>
      </c>
      <c r="S11" s="37" t="n">
        <f aca="false">Inputs!$B$5*Inputs!$B$7*8760*(1-Inputs!$B$8)^(S$4-1)*S$5</f>
        <v>263364.331036046</v>
      </c>
      <c r="T11" s="37" t="n">
        <f aca="false">Inputs!$B$5*Inputs!$B$7*8760*(1-Inputs!$B$8)^(T$4-1)*T$5</f>
        <v>262047.509380866</v>
      </c>
      <c r="U11" s="37" t="n">
        <f aca="false">Inputs!$B$5*Inputs!$B$7*8760*(1-Inputs!$B$8)^(U$4-1)*U$5</f>
        <v>260737.271833961</v>
      </c>
      <c r="V11" s="37" t="n">
        <f aca="false">Inputs!$B$5*Inputs!$B$7*8760*(1-Inputs!$B$8)^(V$4-1)*V$5</f>
        <v>259433.585474792</v>
      </c>
      <c r="W11" s="37" t="n">
        <f aca="false">Inputs!$B$5*Inputs!$B$7*8760*(1-Inputs!$B$8)^(W$4-1)*W$5</f>
        <v>258136.417547418</v>
      </c>
      <c r="X11" s="37" t="n">
        <f aca="false">Inputs!$B$5*Inputs!$B$7*8760*(1-Inputs!$B$8)^(X$4-1)*X$5</f>
        <v>256845.735459681</v>
      </c>
      <c r="Y11" s="37" t="n">
        <f aca="false">Inputs!$B$5*Inputs!$B$7*8760*(1-Inputs!$B$8)^(Y$4-1)*Y$5</f>
        <v>255561.506782382</v>
      </c>
      <c r="Z11" s="37" t="n">
        <f aca="false">Inputs!$B$5*Inputs!$B$7*8760*(1-Inputs!$B$8)^(Z$4-1)*Z$5</f>
        <v>254283.69924847</v>
      </c>
      <c r="AA11" s="37" t="n">
        <f aca="false">Inputs!$B$5*Inputs!$B$7*8760*(1-Inputs!$B$8)^(AA$4-1)*AA$5</f>
        <v>253012.280752228</v>
      </c>
      <c r="AB11" s="37" t="n">
        <f aca="false">Inputs!$B$5*Inputs!$B$7*8760*(1-Inputs!$B$8)^(AB$4-1)*AB$5</f>
        <v>251747.219348467</v>
      </c>
      <c r="AC11" s="37" t="n">
        <f aca="false">Inputs!$B$5*Inputs!$B$7*8760*(1-Inputs!$B$8)^(AC$4-1)*AC$5</f>
        <v>250488.483251724</v>
      </c>
    </row>
    <row r="12" customFormat="false" ht="15" hidden="false" customHeight="false" outlineLevel="0" collapsed="false">
      <c r="A12" s="4" t="s">
        <v>110</v>
      </c>
      <c r="B12" s="4" t="s">
        <v>62</v>
      </c>
      <c r="E12" s="38" t="n">
        <f aca="false">Inputs!$B$11*(1+Inputs!$B$12)^(E$4-1)*E$5</f>
        <v>68</v>
      </c>
      <c r="F12" s="38" t="n">
        <f aca="false">Inputs!$B$11*(1+Inputs!$B$12)^(F$4-1)*F$5</f>
        <v>69.36</v>
      </c>
      <c r="G12" s="38" t="n">
        <f aca="false">Inputs!$B$11*(1+Inputs!$B$12)^(G$4-1)*G$5</f>
        <v>70.7472</v>
      </c>
      <c r="H12" s="38" t="n">
        <f aca="false">Inputs!$B$11*(1+Inputs!$B$12)^(H$4-1)*H$5</f>
        <v>72.162144</v>
      </c>
      <c r="I12" s="38" t="n">
        <f aca="false">Inputs!$B$11*(1+Inputs!$B$12)^(I$4-1)*I$5</f>
        <v>73.60538688</v>
      </c>
      <c r="J12" s="38" t="n">
        <f aca="false">Inputs!$B$11*(1+Inputs!$B$12)^(J$4-1)*J$5</f>
        <v>75.0774946176</v>
      </c>
      <c r="K12" s="38" t="n">
        <f aca="false">Inputs!$B$11*(1+Inputs!$B$12)^(K$4-1)*K$5</f>
        <v>76.579044509952</v>
      </c>
      <c r="L12" s="38" t="n">
        <f aca="false">Inputs!$B$11*(1+Inputs!$B$12)^(L$4-1)*L$5</f>
        <v>78.110625400151</v>
      </c>
      <c r="M12" s="38" t="n">
        <f aca="false">Inputs!$B$11*(1+Inputs!$B$12)^(M$4-1)*M$5</f>
        <v>79.6728379081541</v>
      </c>
      <c r="N12" s="38" t="n">
        <f aca="false">Inputs!$B$11*(1+Inputs!$B$12)^(N$4-1)*N$5</f>
        <v>81.2662946663172</v>
      </c>
      <c r="O12" s="38" t="n">
        <f aca="false">Inputs!$B$11*(1+Inputs!$B$12)^(O$4-1)*O$5</f>
        <v>82.8916205596435</v>
      </c>
      <c r="P12" s="38" t="n">
        <f aca="false">Inputs!$B$11*(1+Inputs!$B$12)^(P$4-1)*P$5</f>
        <v>84.5494529708364</v>
      </c>
      <c r="Q12" s="38" t="n">
        <f aca="false">Inputs!$B$11*(1+Inputs!$B$12)^(Q$4-1)*Q$5</f>
        <v>86.2404420302531</v>
      </c>
      <c r="R12" s="38" t="n">
        <f aca="false">Inputs!$B$11*(1+Inputs!$B$12)^(R$4-1)*R$5</f>
        <v>87.9652508708582</v>
      </c>
      <c r="S12" s="38" t="n">
        <f aca="false">Inputs!$B$11*(1+Inputs!$B$12)^(S$4-1)*S$5</f>
        <v>89.7245558882753</v>
      </c>
      <c r="T12" s="38" t="n">
        <f aca="false">Inputs!$B$11*(1+Inputs!$B$12)^(T$4-1)*T$5</f>
        <v>91.5190470060408</v>
      </c>
      <c r="U12" s="38" t="n">
        <f aca="false">Inputs!$B$11*(1+Inputs!$B$12)^(U$4-1)*U$5</f>
        <v>93.3494279461617</v>
      </c>
      <c r="V12" s="38" t="n">
        <f aca="false">Inputs!$B$11*(1+Inputs!$B$12)^(V$4-1)*V$5</f>
        <v>95.2164165050849</v>
      </c>
      <c r="W12" s="38" t="n">
        <f aca="false">Inputs!$B$11*(1+Inputs!$B$12)^(W$4-1)*W$5</f>
        <v>97.1207448351866</v>
      </c>
      <c r="X12" s="38" t="n">
        <f aca="false">Inputs!$B$11*(1+Inputs!$B$12)^(X$4-1)*X$5</f>
        <v>99.0631597318903</v>
      </c>
      <c r="Y12" s="38" t="n">
        <f aca="false">Inputs!$B$11*(1+Inputs!$B$12)^(Y$4-1)*Y$5</f>
        <v>101.044422926528</v>
      </c>
      <c r="Z12" s="38" t="n">
        <f aca="false">Inputs!$B$11*(1+Inputs!$B$12)^(Z$4-1)*Z$5</f>
        <v>103.065311385059</v>
      </c>
      <c r="AA12" s="38" t="n">
        <f aca="false">Inputs!$B$11*(1+Inputs!$B$12)^(AA$4-1)*AA$5</f>
        <v>105.12661761276</v>
      </c>
      <c r="AB12" s="38" t="n">
        <f aca="false">Inputs!$B$11*(1+Inputs!$B$12)^(AB$4-1)*AB$5</f>
        <v>107.229149965015</v>
      </c>
      <c r="AC12" s="38" t="n">
        <f aca="false">Inputs!$B$11*(1+Inputs!$B$12)^(AC$4-1)*AC$5</f>
        <v>109.373732964315</v>
      </c>
    </row>
    <row r="13" customFormat="false" ht="15" hidden="false" customHeight="false" outlineLevel="0" collapsed="false">
      <c r="A13" s="4" t="s">
        <v>111</v>
      </c>
      <c r="B13" s="4" t="s">
        <v>3</v>
      </c>
      <c r="C13" s="10" t="n">
        <f aca="false">SUM(E13:AC13)</f>
        <v>643.87528882259</v>
      </c>
      <c r="E13" s="10" t="n">
        <f aca="false">E10*E12/10^6</f>
        <v>21.44448</v>
      </c>
      <c r="F13" s="10" t="n">
        <f aca="false">F10*F12/10^6</f>
        <v>21.764002752</v>
      </c>
      <c r="G13" s="10" t="n">
        <f aca="false">G10*G12/10^6</f>
        <v>22.0882863930048</v>
      </c>
      <c r="H13" s="10" t="n">
        <f aca="false">H10*H12/10^6</f>
        <v>22.4174018602606</v>
      </c>
      <c r="I13" s="10" t="n">
        <f aca="false">I10*I12/10^6</f>
        <v>22.7514211479785</v>
      </c>
      <c r="J13" s="10" t="n">
        <f aca="false">J10*J12/10^6</f>
        <v>23.0904173230833</v>
      </c>
      <c r="K13" s="10" t="n">
        <f aca="false">K10*K12/10^6</f>
        <v>23.4344645411973</v>
      </c>
      <c r="L13" s="10" t="n">
        <f aca="false">L10*L12/10^6</f>
        <v>23.7836380628611</v>
      </c>
      <c r="M13" s="10" t="n">
        <f aca="false">M10*M12/10^6</f>
        <v>24.1380142699977</v>
      </c>
      <c r="N13" s="10" t="n">
        <f aca="false">N10*N12/10^6</f>
        <v>24.4976706826207</v>
      </c>
      <c r="O13" s="10" t="n">
        <f aca="false">O10*O12/10^6</f>
        <v>24.8626859757918</v>
      </c>
      <c r="P13" s="10" t="n">
        <f aca="false">P10*P12/10^6</f>
        <v>25.2331399968311</v>
      </c>
      <c r="Q13" s="10" t="n">
        <f aca="false">Q10*Q12/10^6</f>
        <v>25.6091137827838</v>
      </c>
      <c r="R13" s="10" t="n">
        <f aca="false">R10*R12/10^6</f>
        <v>25.9906895781473</v>
      </c>
      <c r="S13" s="10" t="n">
        <f aca="false">S10*S12/10^6</f>
        <v>26.3779508528617</v>
      </c>
      <c r="T13" s="10" t="n">
        <f aca="false">T10*T12/10^6</f>
        <v>26.7709823205694</v>
      </c>
      <c r="U13" s="10" t="n">
        <f aca="false">U10*U12/10^6</f>
        <v>27.1698699571458</v>
      </c>
      <c r="V13" s="10" t="n">
        <f aca="false">V10*V12/10^6</f>
        <v>27.5747010195073</v>
      </c>
      <c r="W13" s="10" t="n">
        <f aca="false">W10*W12/10^6</f>
        <v>27.985564064698</v>
      </c>
      <c r="X13" s="10" t="n">
        <f aca="false">X10*X12/10^6</f>
        <v>28.402548969262</v>
      </c>
      <c r="Y13" s="10" t="n">
        <f aca="false">Y10*Y12/10^6</f>
        <v>28.825746948904</v>
      </c>
      <c r="Z13" s="10" t="n">
        <f aca="false">Z10*Z12/10^6</f>
        <v>29.2552505784427</v>
      </c>
      <c r="AA13" s="10" t="n">
        <f aca="false">AA10*AA12/10^6</f>
        <v>29.6911538120614</v>
      </c>
      <c r="AB13" s="10" t="n">
        <f aca="false">AB10*AB12/10^6</f>
        <v>30.1335520038612</v>
      </c>
      <c r="AC13" s="10" t="n">
        <f aca="false">AC10*AC12/10^6</f>
        <v>30.5825419287187</v>
      </c>
    </row>
    <row r="14" customFormat="false" ht="15" hidden="false" customHeight="false" outlineLevel="0" collapsed="false">
      <c r="A14" s="4" t="s">
        <v>112</v>
      </c>
      <c r="B14" s="4" t="s">
        <v>3</v>
      </c>
      <c r="C14" s="10" t="n">
        <f aca="false">SUM(E14:AC14)</f>
        <v>576.804946236904</v>
      </c>
      <c r="E14" s="10" t="n">
        <f aca="false">E11*E12/10^6</f>
        <v>19.21068</v>
      </c>
      <c r="F14" s="10" t="n">
        <f aca="false">F11*F12/10^6</f>
        <v>19.496919132</v>
      </c>
      <c r="G14" s="10" t="n">
        <f aca="false">G11*G12/10^6</f>
        <v>19.7874232270668</v>
      </c>
      <c r="H14" s="10" t="n">
        <f aca="false">H11*H12/10^6</f>
        <v>20.0822558331501</v>
      </c>
      <c r="I14" s="10" t="n">
        <f aca="false">I11*I12/10^6</f>
        <v>20.381481445064</v>
      </c>
      <c r="J14" s="10" t="n">
        <f aca="false">J11*J12/10^6</f>
        <v>20.6851655185955</v>
      </c>
      <c r="K14" s="10" t="n">
        <f aca="false">K11*K12/10^6</f>
        <v>20.9933744848226</v>
      </c>
      <c r="L14" s="10" t="n">
        <f aca="false">L11*L12/10^6</f>
        <v>21.3061757646464</v>
      </c>
      <c r="M14" s="10" t="n">
        <f aca="false">M11*M12/10^6</f>
        <v>21.6236377835397</v>
      </c>
      <c r="N14" s="10" t="n">
        <f aca="false">N11*N12/10^6</f>
        <v>21.9458299865144</v>
      </c>
      <c r="O14" s="10" t="n">
        <f aca="false">O11*O12/10^6</f>
        <v>22.2728228533135</v>
      </c>
      <c r="P14" s="10" t="n">
        <f aca="false">P11*P12/10^6</f>
        <v>22.6046879138278</v>
      </c>
      <c r="Q14" s="10" t="n">
        <f aca="false">Q11*Q12/10^6</f>
        <v>22.9414977637439</v>
      </c>
      <c r="R14" s="10" t="n">
        <f aca="false">R11*R12/10^6</f>
        <v>23.2833260804237</v>
      </c>
      <c r="S14" s="10" t="n">
        <f aca="false">S11*S12/10^6</f>
        <v>23.630247639022</v>
      </c>
      <c r="T14" s="10" t="n">
        <f aca="false">T11*T12/10^6</f>
        <v>23.9823383288434</v>
      </c>
      <c r="U14" s="10" t="n">
        <f aca="false">U11*U12/10^6</f>
        <v>24.3396751699432</v>
      </c>
      <c r="V14" s="10" t="n">
        <f aca="false">V11*V12/10^6</f>
        <v>24.7023363299753</v>
      </c>
      <c r="W14" s="10" t="n">
        <f aca="false">W11*W12/10^6</f>
        <v>25.0704011412919</v>
      </c>
      <c r="X14" s="10" t="n">
        <f aca="false">X11*X12/10^6</f>
        <v>25.4439501182972</v>
      </c>
      <c r="Y14" s="10" t="n">
        <f aca="false">Y11*Y12/10^6</f>
        <v>25.8230649750598</v>
      </c>
      <c r="Z14" s="10" t="n">
        <f aca="false">Z11*Z12/10^6</f>
        <v>26.2078286431882</v>
      </c>
      <c r="AA14" s="10" t="n">
        <f aca="false">AA11*AA12/10^6</f>
        <v>26.5983252899717</v>
      </c>
      <c r="AB14" s="10" t="n">
        <f aca="false">AB11*AB12/10^6</f>
        <v>26.9946403367923</v>
      </c>
      <c r="AC14" s="10" t="n">
        <f aca="false">AC11*AC12/10^6</f>
        <v>27.3968604778105</v>
      </c>
    </row>
    <row r="15" customFormat="false" ht="15" hidden="false" customHeight="false" outlineLevel="0" collapsed="false">
      <c r="A15" s="4" t="s">
        <v>65</v>
      </c>
      <c r="B15" s="4" t="s">
        <v>3</v>
      </c>
      <c r="C15" s="10" t="n">
        <f aca="false">SUM(E15:AC15)</f>
        <v>-92.2259626187927</v>
      </c>
      <c r="E15" s="10" t="n">
        <f aca="false">-Inputs!$B$5*1000*Inputs!$B$14*(1+Inputs!$B$15)^(E$4-1)/10^6*E$5</f>
        <v>-2.7</v>
      </c>
      <c r="F15" s="10" t="n">
        <f aca="false">-Inputs!$B$5*1000*Inputs!$B$14*(1+Inputs!$B$15)^(F$4-1)/10^6*F$5</f>
        <v>-2.7675</v>
      </c>
      <c r="G15" s="10" t="n">
        <f aca="false">-Inputs!$B$5*1000*Inputs!$B$14*(1+Inputs!$B$15)^(G$4-1)/10^6*G$5</f>
        <v>-2.8366875</v>
      </c>
      <c r="H15" s="10" t="n">
        <f aca="false">-Inputs!$B$5*1000*Inputs!$B$14*(1+Inputs!$B$15)^(H$4-1)/10^6*H$5</f>
        <v>-2.9076046875</v>
      </c>
      <c r="I15" s="10" t="n">
        <f aca="false">-Inputs!$B$5*1000*Inputs!$B$14*(1+Inputs!$B$15)^(I$4-1)/10^6*I$5</f>
        <v>-2.9802948046875</v>
      </c>
      <c r="J15" s="10" t="n">
        <f aca="false">-Inputs!$B$5*1000*Inputs!$B$14*(1+Inputs!$B$15)^(J$4-1)/10^6*J$5</f>
        <v>-3.05480217480469</v>
      </c>
      <c r="K15" s="10" t="n">
        <f aca="false">-Inputs!$B$5*1000*Inputs!$B$14*(1+Inputs!$B$15)^(K$4-1)/10^6*K$5</f>
        <v>-3.1311722291748</v>
      </c>
      <c r="L15" s="10" t="n">
        <f aca="false">-Inputs!$B$5*1000*Inputs!$B$14*(1+Inputs!$B$15)^(L$4-1)/10^6*L$5</f>
        <v>-3.20945153490417</v>
      </c>
      <c r="M15" s="10" t="n">
        <f aca="false">-Inputs!$B$5*1000*Inputs!$B$14*(1+Inputs!$B$15)^(M$4-1)/10^6*M$5</f>
        <v>-3.28968782327678</v>
      </c>
      <c r="N15" s="10" t="n">
        <f aca="false">-Inputs!$B$5*1000*Inputs!$B$14*(1+Inputs!$B$15)^(N$4-1)/10^6*N$5</f>
        <v>-3.3719300188587</v>
      </c>
      <c r="O15" s="10" t="n">
        <f aca="false">-Inputs!$B$5*1000*Inputs!$B$14*(1+Inputs!$B$15)^(O$4-1)/10^6*O$5</f>
        <v>-3.45622826933016</v>
      </c>
      <c r="P15" s="10" t="n">
        <f aca="false">-Inputs!$B$5*1000*Inputs!$B$14*(1+Inputs!$B$15)^(P$4-1)/10^6*P$5</f>
        <v>-3.54263397606342</v>
      </c>
      <c r="Q15" s="10" t="n">
        <f aca="false">-Inputs!$B$5*1000*Inputs!$B$14*(1+Inputs!$B$15)^(Q$4-1)/10^6*Q$5</f>
        <v>-3.631199825465</v>
      </c>
      <c r="R15" s="10" t="n">
        <f aca="false">-Inputs!$B$5*1000*Inputs!$B$14*(1+Inputs!$B$15)^(R$4-1)/10^6*R$5</f>
        <v>-3.72197982110163</v>
      </c>
      <c r="S15" s="10" t="n">
        <f aca="false">-Inputs!$B$5*1000*Inputs!$B$14*(1+Inputs!$B$15)^(S$4-1)/10^6*S$5</f>
        <v>-3.81502931662917</v>
      </c>
      <c r="T15" s="10" t="n">
        <f aca="false">-Inputs!$B$5*1000*Inputs!$B$14*(1+Inputs!$B$15)^(T$4-1)/10^6*T$5</f>
        <v>-3.9104050495449</v>
      </c>
      <c r="U15" s="10" t="n">
        <f aca="false">-Inputs!$B$5*1000*Inputs!$B$14*(1+Inputs!$B$15)^(U$4-1)/10^6*U$5</f>
        <v>-4.00816517578352</v>
      </c>
      <c r="V15" s="10" t="n">
        <f aca="false">-Inputs!$B$5*1000*Inputs!$B$14*(1+Inputs!$B$15)^(V$4-1)/10^6*V$5</f>
        <v>-4.10836930517811</v>
      </c>
      <c r="W15" s="10" t="n">
        <f aca="false">-Inputs!$B$5*1000*Inputs!$B$14*(1+Inputs!$B$15)^(W$4-1)/10^6*W$5</f>
        <v>-4.21107853780756</v>
      </c>
      <c r="X15" s="10" t="n">
        <f aca="false">-Inputs!$B$5*1000*Inputs!$B$14*(1+Inputs!$B$15)^(X$4-1)/10^6*X$5</f>
        <v>-4.31635550125275</v>
      </c>
      <c r="Y15" s="10" t="n">
        <f aca="false">-Inputs!$B$5*1000*Inputs!$B$14*(1+Inputs!$B$15)^(Y$4-1)/10^6*Y$5</f>
        <v>-4.42426438878406</v>
      </c>
      <c r="Z15" s="10" t="n">
        <f aca="false">-Inputs!$B$5*1000*Inputs!$B$14*(1+Inputs!$B$15)^(Z$4-1)/10^6*Z$5</f>
        <v>-4.53487099850367</v>
      </c>
      <c r="AA15" s="10" t="n">
        <f aca="false">-Inputs!$B$5*1000*Inputs!$B$14*(1+Inputs!$B$15)^(AA$4-1)/10^6*AA$5</f>
        <v>-4.64824277346626</v>
      </c>
      <c r="AB15" s="10" t="n">
        <f aca="false">-Inputs!$B$5*1000*Inputs!$B$14*(1+Inputs!$B$15)^(AB$4-1)/10^6*AB$5</f>
        <v>-4.76444884280291</v>
      </c>
      <c r="AC15" s="10" t="n">
        <f aca="false">-Inputs!$B$5*1000*Inputs!$B$14*(1+Inputs!$B$15)^(AC$4-1)/10^6*AC$5</f>
        <v>-4.88356006387299</v>
      </c>
    </row>
    <row r="16" customFormat="false" ht="15" hidden="false" customHeight="false" outlineLevel="0" collapsed="false">
      <c r="A16" s="4" t="s">
        <v>113</v>
      </c>
      <c r="B16" s="4" t="s">
        <v>3</v>
      </c>
      <c r="C16" s="10" t="n">
        <f aca="false">SUM(E16:AC16)</f>
        <v>551.649326203797</v>
      </c>
      <c r="E16" s="10" t="n">
        <f aca="false">E13+E15</f>
        <v>18.74448</v>
      </c>
      <c r="F16" s="10" t="n">
        <f aca="false">F13+F15</f>
        <v>18.996502752</v>
      </c>
      <c r="G16" s="10" t="n">
        <f aca="false">G13+G15</f>
        <v>19.2515988930048</v>
      </c>
      <c r="H16" s="10" t="n">
        <f aca="false">H13+H15</f>
        <v>19.5097971727606</v>
      </c>
      <c r="I16" s="10" t="n">
        <f aca="false">I13+I15</f>
        <v>19.771126343291</v>
      </c>
      <c r="J16" s="10" t="n">
        <f aca="false">J13+J15</f>
        <v>20.0356151482786</v>
      </c>
      <c r="K16" s="10" t="n">
        <f aca="false">K13+K15</f>
        <v>20.3032923120225</v>
      </c>
      <c r="L16" s="10" t="n">
        <f aca="false">L13+L15</f>
        <v>20.5741865279569</v>
      </c>
      <c r="M16" s="10" t="n">
        <f aca="false">M13+M15</f>
        <v>20.848326446721</v>
      </c>
      <c r="N16" s="10" t="n">
        <f aca="false">N13+N15</f>
        <v>21.125740663762</v>
      </c>
      <c r="O16" s="10" t="n">
        <f aca="false">O13+O15</f>
        <v>21.4064577064616</v>
      </c>
      <c r="P16" s="10" t="n">
        <f aca="false">P13+P15</f>
        <v>21.6905060207676</v>
      </c>
      <c r="Q16" s="10" t="n">
        <f aca="false">Q13+Q15</f>
        <v>21.9779139573188</v>
      </c>
      <c r="R16" s="10" t="n">
        <f aca="false">R13+R15</f>
        <v>22.2687097570457</v>
      </c>
      <c r="S16" s="10" t="n">
        <f aca="false">S13+S15</f>
        <v>22.5629215362325</v>
      </c>
      <c r="T16" s="10" t="n">
        <f aca="false">T13+T15</f>
        <v>22.8605772710245</v>
      </c>
      <c r="U16" s="10" t="n">
        <f aca="false">U13+U15</f>
        <v>23.1617047813623</v>
      </c>
      <c r="V16" s="10" t="n">
        <f aca="false">V13+V15</f>
        <v>23.4663317143292</v>
      </c>
      <c r="W16" s="10" t="n">
        <f aca="false">W13+W15</f>
        <v>23.7744855268904</v>
      </c>
      <c r="X16" s="10" t="n">
        <f aca="false">X13+X15</f>
        <v>24.0861934680092</v>
      </c>
      <c r="Y16" s="10" t="n">
        <f aca="false">Y13+Y15</f>
        <v>24.4014825601199</v>
      </c>
      <c r="Z16" s="10" t="n">
        <f aca="false">Z13+Z15</f>
        <v>24.720379579939</v>
      </c>
      <c r="AA16" s="10" t="n">
        <f aca="false">AA13+AA15</f>
        <v>25.0429110385952</v>
      </c>
      <c r="AB16" s="10" t="n">
        <f aca="false">AB13+AB15</f>
        <v>25.3691031610583</v>
      </c>
      <c r="AC16" s="10" t="n">
        <f aca="false">AC13+AC15</f>
        <v>25.6989818648457</v>
      </c>
    </row>
    <row r="17" customFormat="false" ht="15" hidden="false" customHeight="false" outlineLevel="0" collapsed="false">
      <c r="A17" s="4" t="s">
        <v>114</v>
      </c>
      <c r="B17" s="4" t="s">
        <v>3</v>
      </c>
      <c r="C17" s="10" t="n">
        <f aca="false">SUM(E17:AC17)</f>
        <v>484.578983618111</v>
      </c>
      <c r="E17" s="10" t="n">
        <f aca="false">E14+E15</f>
        <v>16.51068</v>
      </c>
      <c r="F17" s="10" t="n">
        <f aca="false">F14+F15</f>
        <v>16.729419132</v>
      </c>
      <c r="G17" s="10" t="n">
        <f aca="false">G14+G15</f>
        <v>16.9507357270668</v>
      </c>
      <c r="H17" s="10" t="n">
        <f aca="false">H14+H15</f>
        <v>17.1746511456501</v>
      </c>
      <c r="I17" s="10" t="n">
        <f aca="false">I14+I15</f>
        <v>17.4011866403765</v>
      </c>
      <c r="J17" s="10" t="n">
        <f aca="false">J14+J15</f>
        <v>17.6303633437908</v>
      </c>
      <c r="K17" s="10" t="n">
        <f aca="false">K14+K15</f>
        <v>17.8622022556478</v>
      </c>
      <c r="L17" s="10" t="n">
        <f aca="false">L14+L15</f>
        <v>18.0967242297422</v>
      </c>
      <c r="M17" s="10" t="n">
        <f aca="false">M14+M15</f>
        <v>18.3339499602629</v>
      </c>
      <c r="N17" s="10" t="n">
        <f aca="false">N14+N15</f>
        <v>18.5738999676557</v>
      </c>
      <c r="O17" s="10" t="n">
        <f aca="false">O14+O15</f>
        <v>18.8165945839833</v>
      </c>
      <c r="P17" s="10" t="n">
        <f aca="false">P14+P15</f>
        <v>19.0620539377644</v>
      </c>
      <c r="Q17" s="10" t="n">
        <f aca="false">Q14+Q15</f>
        <v>19.3102979382789</v>
      </c>
      <c r="R17" s="10" t="n">
        <f aca="false">R14+R15</f>
        <v>19.561346259322</v>
      </c>
      <c r="S17" s="10" t="n">
        <f aca="false">S14+S15</f>
        <v>19.8152183223928</v>
      </c>
      <c r="T17" s="10" t="n">
        <f aca="false">T14+T15</f>
        <v>20.0719332792985</v>
      </c>
      <c r="U17" s="10" t="n">
        <f aca="false">U14+U15</f>
        <v>20.3315099941596</v>
      </c>
      <c r="V17" s="10" t="n">
        <f aca="false">V14+V15</f>
        <v>20.5939670247972</v>
      </c>
      <c r="W17" s="10" t="n">
        <f aca="false">W14+W15</f>
        <v>20.8593226034844</v>
      </c>
      <c r="X17" s="10" t="n">
        <f aca="false">X14+X15</f>
        <v>21.1275946170444</v>
      </c>
      <c r="Y17" s="10" t="n">
        <f aca="false">Y14+Y15</f>
        <v>21.3988005862758</v>
      </c>
      <c r="Z17" s="10" t="n">
        <f aca="false">Z14+Z15</f>
        <v>21.6729576446845</v>
      </c>
      <c r="AA17" s="10" t="n">
        <f aca="false">AA14+AA15</f>
        <v>21.9500825165055</v>
      </c>
      <c r="AB17" s="10" t="n">
        <f aca="false">AB14+AB15</f>
        <v>22.2301914939894</v>
      </c>
      <c r="AC17" s="10" t="n">
        <f aca="false">AC14+AC15</f>
        <v>22.5133004139375</v>
      </c>
    </row>
    <row r="18" customFormat="false" ht="15" hidden="false" customHeight="false" outlineLevel="0" collapsed="false">
      <c r="A18" s="4" t="s">
        <v>115</v>
      </c>
      <c r="B18" s="4" t="s">
        <v>3</v>
      </c>
      <c r="C18" s="10" t="n">
        <f aca="false">SUM(E18:AC18)</f>
        <v>175</v>
      </c>
      <c r="E18" s="10" t="n">
        <f aca="false">IF(E$4&lt;=Inputs!$B$22,Inputs!$B$19/Inputs!$B$22,0)*E$5</f>
        <v>8.75</v>
      </c>
      <c r="F18" s="10" t="n">
        <f aca="false">IF(F$4&lt;=Inputs!$B$22,Inputs!$B$19/Inputs!$B$22,0)*F$5</f>
        <v>8.75</v>
      </c>
      <c r="G18" s="10" t="n">
        <f aca="false">IF(G$4&lt;=Inputs!$B$22,Inputs!$B$19/Inputs!$B$22,0)*G$5</f>
        <v>8.75</v>
      </c>
      <c r="H18" s="10" t="n">
        <f aca="false">IF(H$4&lt;=Inputs!$B$22,Inputs!$B$19/Inputs!$B$22,0)*H$5</f>
        <v>8.75</v>
      </c>
      <c r="I18" s="10" t="n">
        <f aca="false">IF(I$4&lt;=Inputs!$B$22,Inputs!$B$19/Inputs!$B$22,0)*I$5</f>
        <v>8.75</v>
      </c>
      <c r="J18" s="10" t="n">
        <f aca="false">IF(J$4&lt;=Inputs!$B$22,Inputs!$B$19/Inputs!$B$22,0)*J$5</f>
        <v>8.75</v>
      </c>
      <c r="K18" s="10" t="n">
        <f aca="false">IF(K$4&lt;=Inputs!$B$22,Inputs!$B$19/Inputs!$B$22,0)*K$5</f>
        <v>8.75</v>
      </c>
      <c r="L18" s="10" t="n">
        <f aca="false">IF(L$4&lt;=Inputs!$B$22,Inputs!$B$19/Inputs!$B$22,0)*L$5</f>
        <v>8.75</v>
      </c>
      <c r="M18" s="10" t="n">
        <f aca="false">IF(M$4&lt;=Inputs!$B$22,Inputs!$B$19/Inputs!$B$22,0)*M$5</f>
        <v>8.75</v>
      </c>
      <c r="N18" s="10" t="n">
        <f aca="false">IF(N$4&lt;=Inputs!$B$22,Inputs!$B$19/Inputs!$B$22,0)*N$5</f>
        <v>8.75</v>
      </c>
      <c r="O18" s="10" t="n">
        <f aca="false">IF(O$4&lt;=Inputs!$B$22,Inputs!$B$19/Inputs!$B$22,0)*O$5</f>
        <v>8.75</v>
      </c>
      <c r="P18" s="10" t="n">
        <f aca="false">IF(P$4&lt;=Inputs!$B$22,Inputs!$B$19/Inputs!$B$22,0)*P$5</f>
        <v>8.75</v>
      </c>
      <c r="Q18" s="10" t="n">
        <f aca="false">IF(Q$4&lt;=Inputs!$B$22,Inputs!$B$19/Inputs!$B$22,0)*Q$5</f>
        <v>8.75</v>
      </c>
      <c r="R18" s="10" t="n">
        <f aca="false">IF(R$4&lt;=Inputs!$B$22,Inputs!$B$19/Inputs!$B$22,0)*R$5</f>
        <v>8.75</v>
      </c>
      <c r="S18" s="10" t="n">
        <f aca="false">IF(S$4&lt;=Inputs!$B$22,Inputs!$B$19/Inputs!$B$22,0)*S$5</f>
        <v>8.75</v>
      </c>
      <c r="T18" s="10" t="n">
        <f aca="false">IF(T$4&lt;=Inputs!$B$22,Inputs!$B$19/Inputs!$B$22,0)*T$5</f>
        <v>8.75</v>
      </c>
      <c r="U18" s="10" t="n">
        <f aca="false">IF(U$4&lt;=Inputs!$B$22,Inputs!$B$19/Inputs!$B$22,0)*U$5</f>
        <v>8.75</v>
      </c>
      <c r="V18" s="10" t="n">
        <f aca="false">IF(V$4&lt;=Inputs!$B$22,Inputs!$B$19/Inputs!$B$22,0)*V$5</f>
        <v>8.75</v>
      </c>
      <c r="W18" s="10" t="n">
        <f aca="false">IF(W$4&lt;=Inputs!$B$22,Inputs!$B$19/Inputs!$B$22,0)*W$5</f>
        <v>8.75</v>
      </c>
      <c r="X18" s="10" t="n">
        <f aca="false">IF(X$4&lt;=Inputs!$B$22,Inputs!$B$19/Inputs!$B$22,0)*X$5</f>
        <v>8.75</v>
      </c>
      <c r="Y18" s="10" t="n">
        <f aca="false">IF(Y$4&lt;=Inputs!$B$22,Inputs!$B$19/Inputs!$B$22,0)*Y$5</f>
        <v>0</v>
      </c>
      <c r="Z18" s="10" t="n">
        <f aca="false">IF(Z$4&lt;=Inputs!$B$22,Inputs!$B$19/Inputs!$B$22,0)*Z$5</f>
        <v>0</v>
      </c>
      <c r="AA18" s="10" t="n">
        <f aca="false">IF(AA$4&lt;=Inputs!$B$22,Inputs!$B$19/Inputs!$B$22,0)*AA$5</f>
        <v>0</v>
      </c>
      <c r="AB18" s="10" t="n">
        <f aca="false">IF(AB$4&lt;=Inputs!$B$22,Inputs!$B$19/Inputs!$B$22,0)*AB$5</f>
        <v>0</v>
      </c>
      <c r="AC18" s="10" t="n">
        <f aca="false">IF(AC$4&lt;=Inputs!$B$22,Inputs!$B$19/Inputs!$B$22,0)*AC$5</f>
        <v>0</v>
      </c>
    </row>
    <row r="19" customFormat="false" ht="15" hidden="false" customHeight="false" outlineLevel="0" collapsed="false">
      <c r="A19" s="4" t="s">
        <v>116</v>
      </c>
      <c r="B19" s="4" t="s">
        <v>3</v>
      </c>
      <c r="C19" s="10" t="n">
        <f aca="false">SUM(E19:AC19)</f>
        <v>-94.1623315509494</v>
      </c>
      <c r="E19" s="10" t="n">
        <f aca="false">-MAX(0,E16-E18)*Inputs!$B$21</f>
        <v>-2.49862</v>
      </c>
      <c r="F19" s="10" t="n">
        <f aca="false">-MAX(0,F16-F18)*Inputs!$B$21</f>
        <v>-2.561625688</v>
      </c>
      <c r="G19" s="10" t="n">
        <f aca="false">-MAX(0,G16-G18)*Inputs!$B$21</f>
        <v>-2.6253997232512</v>
      </c>
      <c r="H19" s="10" t="n">
        <f aca="false">-MAX(0,H16-H18)*Inputs!$B$21</f>
        <v>-2.68994929319014</v>
      </c>
      <c r="I19" s="10" t="n">
        <f aca="false">-MAX(0,I16-I18)*Inputs!$B$21</f>
        <v>-2.75528158582274</v>
      </c>
      <c r="J19" s="10" t="n">
        <f aca="false">-MAX(0,J16-J18)*Inputs!$B$21</f>
        <v>-2.82140378706966</v>
      </c>
      <c r="K19" s="10" t="n">
        <f aca="false">-MAX(0,K16-K18)*Inputs!$B$21</f>
        <v>-2.88832307800562</v>
      </c>
      <c r="L19" s="10" t="n">
        <f aca="false">-MAX(0,L16-L18)*Inputs!$B$21</f>
        <v>-2.95604663198924</v>
      </c>
      <c r="M19" s="10" t="n">
        <f aca="false">-MAX(0,M16-M18)*Inputs!$B$21</f>
        <v>-3.02458161168024</v>
      </c>
      <c r="N19" s="10" t="n">
        <f aca="false">-MAX(0,N16-N18)*Inputs!$B$21</f>
        <v>-3.0939351659405</v>
      </c>
      <c r="O19" s="10" t="n">
        <f aca="false">-MAX(0,O16-O18)*Inputs!$B$21</f>
        <v>-3.1641144266154</v>
      </c>
      <c r="P19" s="10" t="n">
        <f aca="false">-MAX(0,P16-P18)*Inputs!$B$21</f>
        <v>-3.23512650519191</v>
      </c>
      <c r="Q19" s="10" t="n">
        <f aca="false">-MAX(0,Q16-Q18)*Inputs!$B$21</f>
        <v>-3.30697848932971</v>
      </c>
      <c r="R19" s="10" t="n">
        <f aca="false">-MAX(0,R16-R18)*Inputs!$B$21</f>
        <v>-3.37967743926142</v>
      </c>
      <c r="S19" s="10" t="n">
        <f aca="false">-MAX(0,S16-S18)*Inputs!$B$21</f>
        <v>-3.45323038405814</v>
      </c>
      <c r="T19" s="10" t="n">
        <f aca="false">-MAX(0,T16-T18)*Inputs!$B$21</f>
        <v>-3.52764431775612</v>
      </c>
      <c r="U19" s="10" t="n">
        <f aca="false">-MAX(0,U16-U18)*Inputs!$B$21</f>
        <v>-3.60292619534058</v>
      </c>
      <c r="V19" s="10" t="n">
        <f aca="false">-MAX(0,V16-V18)*Inputs!$B$21</f>
        <v>-3.6790829285823</v>
      </c>
      <c r="W19" s="10" t="n">
        <f aca="false">-MAX(0,W16-W18)*Inputs!$B$21</f>
        <v>-3.75612138172261</v>
      </c>
      <c r="X19" s="10" t="n">
        <f aca="false">-MAX(0,X16-X18)*Inputs!$B$21</f>
        <v>-3.83404836700231</v>
      </c>
      <c r="Y19" s="10" t="n">
        <f aca="false">-MAX(0,Y16-Y18)*Inputs!$B$21</f>
        <v>-6.10037064002998</v>
      </c>
      <c r="Z19" s="10" t="n">
        <f aca="false">-MAX(0,Z16-Z18)*Inputs!$B$21</f>
        <v>-6.18009489498475</v>
      </c>
      <c r="AA19" s="10" t="n">
        <f aca="false">-MAX(0,AA16-AA18)*Inputs!$B$21</f>
        <v>-6.2607277596488</v>
      </c>
      <c r="AB19" s="10" t="n">
        <f aca="false">-MAX(0,AB16-AB18)*Inputs!$B$21</f>
        <v>-6.34227579026456</v>
      </c>
      <c r="AC19" s="10" t="n">
        <f aca="false">-MAX(0,AC16-AC18)*Inputs!$B$21</f>
        <v>-6.42474546621143</v>
      </c>
    </row>
    <row r="20" customFormat="false" ht="15" hidden="false" customHeight="false" outlineLevel="0" collapsed="false">
      <c r="A20" s="4" t="s">
        <v>117</v>
      </c>
      <c r="B20" s="4" t="s">
        <v>3</v>
      </c>
      <c r="C20" s="10" t="n">
        <f aca="false">SUM(E20:AC20)</f>
        <v>-77.3947459045277</v>
      </c>
      <c r="E20" s="10" t="n">
        <f aca="false">-MAX(0,E17-E18)*Inputs!$B$21</f>
        <v>-1.94017</v>
      </c>
      <c r="F20" s="10" t="n">
        <f aca="false">-MAX(0,F17-F18)*Inputs!$B$21</f>
        <v>-1.994854783</v>
      </c>
      <c r="G20" s="10" t="n">
        <f aca="false">-MAX(0,G17-G18)*Inputs!$B$21</f>
        <v>-2.0501839317667</v>
      </c>
      <c r="H20" s="10" t="n">
        <f aca="false">-MAX(0,H17-H18)*Inputs!$B$21</f>
        <v>-2.10616278641253</v>
      </c>
      <c r="I20" s="10" t="n">
        <f aca="false">-MAX(0,I17-I18)*Inputs!$B$21</f>
        <v>-2.16279666009413</v>
      </c>
      <c r="J20" s="10" t="n">
        <f aca="false">-MAX(0,J17-J18)*Inputs!$B$21</f>
        <v>-2.2200908359477</v>
      </c>
      <c r="K20" s="10" t="n">
        <f aca="false">-MAX(0,K17-K18)*Inputs!$B$21</f>
        <v>-2.27805056391194</v>
      </c>
      <c r="L20" s="10" t="n">
        <f aca="false">-MAX(0,L17-L18)*Inputs!$B$21</f>
        <v>-2.33668105743556</v>
      </c>
      <c r="M20" s="10" t="n">
        <f aca="false">-MAX(0,M17-M18)*Inputs!$B$21</f>
        <v>-2.39598749006572</v>
      </c>
      <c r="N20" s="10" t="n">
        <f aca="false">-MAX(0,N17-N18)*Inputs!$B$21</f>
        <v>-2.45597499191392</v>
      </c>
      <c r="O20" s="10" t="n">
        <f aca="false">-MAX(0,O17-O18)*Inputs!$B$21</f>
        <v>-2.51664864599582</v>
      </c>
      <c r="P20" s="10" t="n">
        <f aca="false">-MAX(0,P17-P18)*Inputs!$B$21</f>
        <v>-2.5780134844411</v>
      </c>
      <c r="Q20" s="10" t="n">
        <f aca="false">-MAX(0,Q17-Q18)*Inputs!$B$21</f>
        <v>-2.64007448456971</v>
      </c>
      <c r="R20" s="10" t="n">
        <f aca="false">-MAX(0,R17-R18)*Inputs!$B$21</f>
        <v>-2.70283656483051</v>
      </c>
      <c r="S20" s="10" t="n">
        <f aca="false">-MAX(0,S17-S18)*Inputs!$B$21</f>
        <v>-2.7663045805982</v>
      </c>
      <c r="T20" s="10" t="n">
        <f aca="false">-MAX(0,T17-T18)*Inputs!$B$21</f>
        <v>-2.83048331982462</v>
      </c>
      <c r="U20" s="10" t="n">
        <f aca="false">-MAX(0,U17-U18)*Inputs!$B$21</f>
        <v>-2.89537749853991</v>
      </c>
      <c r="V20" s="10" t="n">
        <f aca="false">-MAX(0,V17-V18)*Inputs!$B$21</f>
        <v>-2.9609917561993</v>
      </c>
      <c r="W20" s="10" t="n">
        <f aca="false">-MAX(0,W17-W18)*Inputs!$B$21</f>
        <v>-3.02733065087109</v>
      </c>
      <c r="X20" s="10" t="n">
        <f aca="false">-MAX(0,X17-X18)*Inputs!$B$21</f>
        <v>-3.09439865426111</v>
      </c>
      <c r="Y20" s="10" t="n">
        <f aca="false">-MAX(0,Y17-Y18)*Inputs!$B$21</f>
        <v>-5.34970014656894</v>
      </c>
      <c r="Z20" s="10" t="n">
        <f aca="false">-MAX(0,Z17-Z18)*Inputs!$B$21</f>
        <v>-5.41823941117114</v>
      </c>
      <c r="AA20" s="10" t="n">
        <f aca="false">-MAX(0,AA17-AA18)*Inputs!$B$21</f>
        <v>-5.48752062912636</v>
      </c>
      <c r="AB20" s="10" t="n">
        <f aca="false">-MAX(0,AB17-AB18)*Inputs!$B$21</f>
        <v>-5.55754787349734</v>
      </c>
      <c r="AC20" s="10" t="n">
        <f aca="false">-MAX(0,AC17-AC18)*Inputs!$B$21</f>
        <v>-5.62832510348438</v>
      </c>
    </row>
    <row r="21" customFormat="false" ht="15" hidden="false" customHeight="false" outlineLevel="0" collapsed="false">
      <c r="A21" s="21" t="s">
        <v>118</v>
      </c>
      <c r="B21" s="4" t="s">
        <v>3</v>
      </c>
      <c r="C21" s="13" t="n">
        <f aca="false">SUM(E21:AC21)</f>
        <v>457.486994652848</v>
      </c>
      <c r="D21" s="15"/>
      <c r="E21" s="13" t="n">
        <f aca="false">E16+E19</f>
        <v>16.24586</v>
      </c>
      <c r="F21" s="13" t="n">
        <f aca="false">F16+F19</f>
        <v>16.434877064</v>
      </c>
      <c r="G21" s="13" t="n">
        <f aca="false">G16+G19</f>
        <v>16.6261991697536</v>
      </c>
      <c r="H21" s="13" t="n">
        <f aca="false">H16+H19</f>
        <v>16.8198478795704</v>
      </c>
      <c r="I21" s="13" t="n">
        <f aca="false">I16+I19</f>
        <v>17.0158447574682</v>
      </c>
      <c r="J21" s="13" t="n">
        <f aca="false">J16+J19</f>
        <v>17.214211361209</v>
      </c>
      <c r="K21" s="13" t="n">
        <f aca="false">K16+K19</f>
        <v>17.4149692340169</v>
      </c>
      <c r="L21" s="13" t="n">
        <f aca="false">L16+L19</f>
        <v>17.6181398959677</v>
      </c>
      <c r="M21" s="13" t="n">
        <f aca="false">M16+M19</f>
        <v>17.8237448350407</v>
      </c>
      <c r="N21" s="13" t="n">
        <f aca="false">N16+N19</f>
        <v>18.0318054978215</v>
      </c>
      <c r="O21" s="13" t="n">
        <f aca="false">O16+O19</f>
        <v>18.2423432798462</v>
      </c>
      <c r="P21" s="13" t="n">
        <f aca="false">P16+P19</f>
        <v>18.4553795155757</v>
      </c>
      <c r="Q21" s="13" t="n">
        <f aca="false">Q16+Q19</f>
        <v>18.6709354679891</v>
      </c>
      <c r="R21" s="13" t="n">
        <f aca="false">R16+R19</f>
        <v>18.8890323177843</v>
      </c>
      <c r="S21" s="13" t="n">
        <f aca="false">S16+S19</f>
        <v>19.1096911521744</v>
      </c>
      <c r="T21" s="13" t="n">
        <f aca="false">T16+T19</f>
        <v>19.3329329532683</v>
      </c>
      <c r="U21" s="13" t="n">
        <f aca="false">U16+U19</f>
        <v>19.5587785860217</v>
      </c>
      <c r="V21" s="13" t="n">
        <f aca="false">V16+V19</f>
        <v>19.7872487857469</v>
      </c>
      <c r="W21" s="13" t="n">
        <f aca="false">W16+W19</f>
        <v>20.0183641451678</v>
      </c>
      <c r="X21" s="13" t="n">
        <f aca="false">X16+X19</f>
        <v>20.2521451010069</v>
      </c>
      <c r="Y21" s="13" t="n">
        <f aca="false">Y16+Y19</f>
        <v>18.3011119200899</v>
      </c>
      <c r="Z21" s="13" t="n">
        <f aca="false">Z16+Z19</f>
        <v>18.5402846849542</v>
      </c>
      <c r="AA21" s="13" t="n">
        <f aca="false">AA16+AA19</f>
        <v>18.7821832789464</v>
      </c>
      <c r="AB21" s="13" t="n">
        <f aca="false">AB16+AB19</f>
        <v>19.0268273707937</v>
      </c>
      <c r="AC21" s="13" t="n">
        <f aca="false">AC16+AC19</f>
        <v>19.2742363986343</v>
      </c>
    </row>
    <row r="22" customFormat="false" ht="15" hidden="false" customHeight="false" outlineLevel="0" collapsed="false">
      <c r="A22" s="21" t="s">
        <v>119</v>
      </c>
      <c r="B22" s="4" t="s">
        <v>3</v>
      </c>
      <c r="C22" s="13" t="n">
        <f aca="false">SUM(E22:AC22)</f>
        <v>407.184237713583</v>
      </c>
      <c r="D22" s="15"/>
      <c r="E22" s="13" t="n">
        <f aca="false">E17+E20</f>
        <v>14.57051</v>
      </c>
      <c r="F22" s="13" t="n">
        <f aca="false">F17+F20</f>
        <v>14.734564349</v>
      </c>
      <c r="G22" s="13" t="n">
        <f aca="false">G17+G20</f>
        <v>14.9005517953001</v>
      </c>
      <c r="H22" s="13" t="n">
        <f aca="false">H17+H20</f>
        <v>15.0684883592376</v>
      </c>
      <c r="I22" s="13" t="n">
        <f aca="false">I17+I20</f>
        <v>15.2383899802824</v>
      </c>
      <c r="J22" s="13" t="n">
        <f aca="false">J17+J20</f>
        <v>15.4102725078431</v>
      </c>
      <c r="K22" s="13" t="n">
        <f aca="false">K17+K20</f>
        <v>15.5841516917358</v>
      </c>
      <c r="L22" s="13" t="n">
        <f aca="false">L17+L20</f>
        <v>15.7600431723067</v>
      </c>
      <c r="M22" s="13" t="n">
        <f aca="false">M17+M20</f>
        <v>15.9379624701972</v>
      </c>
      <c r="N22" s="13" t="n">
        <f aca="false">N17+N20</f>
        <v>16.1179249757418</v>
      </c>
      <c r="O22" s="13" t="n">
        <f aca="false">O17+O20</f>
        <v>16.2999459379875</v>
      </c>
      <c r="P22" s="13" t="n">
        <f aca="false">P17+P20</f>
        <v>16.4840404533233</v>
      </c>
      <c r="Q22" s="13" t="n">
        <f aca="false">Q17+Q20</f>
        <v>16.6702234537091</v>
      </c>
      <c r="R22" s="13" t="n">
        <f aca="false">R17+R20</f>
        <v>16.8585096944915</v>
      </c>
      <c r="S22" s="13" t="n">
        <f aca="false">S17+S20</f>
        <v>17.0489137417946</v>
      </c>
      <c r="T22" s="13" t="n">
        <f aca="false">T17+T20</f>
        <v>17.2414499594739</v>
      </c>
      <c r="U22" s="13" t="n">
        <f aca="false">U17+U20</f>
        <v>17.4361324956197</v>
      </c>
      <c r="V22" s="13" t="n">
        <f aca="false">V17+V20</f>
        <v>17.6329752685979</v>
      </c>
      <c r="W22" s="13" t="n">
        <f aca="false">W17+W20</f>
        <v>17.8319919526133</v>
      </c>
      <c r="X22" s="13" t="n">
        <f aca="false">X17+X20</f>
        <v>18.0331959627833</v>
      </c>
      <c r="Y22" s="13" t="n">
        <f aca="false">Y17+Y20</f>
        <v>16.0491004397068</v>
      </c>
      <c r="Z22" s="13" t="n">
        <f aca="false">Z17+Z20</f>
        <v>16.2547182335134</v>
      </c>
      <c r="AA22" s="13" t="n">
        <f aca="false">AA17+AA20</f>
        <v>16.4625618873791</v>
      </c>
      <c r="AB22" s="13" t="n">
        <f aca="false">AB17+AB20</f>
        <v>16.672643620492</v>
      </c>
      <c r="AC22" s="13" t="n">
        <f aca="false">AC17+AC20</f>
        <v>16.8849753104531</v>
      </c>
    </row>
    <row r="24" customFormat="false" ht="15" hidden="false" customHeight="false" outlineLevel="0" collapsed="false">
      <c r="A24" s="23" t="s">
        <v>120</v>
      </c>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row>
    <row r="25" customFormat="false" ht="15" hidden="false" customHeight="false" outlineLevel="0" collapsed="false">
      <c r="A25" s="4" t="s">
        <v>121</v>
      </c>
      <c r="B25" s="4" t="s">
        <v>3</v>
      </c>
      <c r="E25" s="10" t="n">
        <f aca="false">E21/Inputs!$B$26*E$6</f>
        <v>12.4968153846154</v>
      </c>
      <c r="F25" s="10" t="n">
        <f aca="false">F21/Inputs!$B$26*F$6</f>
        <v>12.6422131261538</v>
      </c>
      <c r="G25" s="10" t="n">
        <f aca="false">G21/Inputs!$B$26*G$6</f>
        <v>12.7893839767335</v>
      </c>
      <c r="H25" s="10" t="n">
        <f aca="false">H21/Inputs!$B$26*H$6</f>
        <v>12.9383445227465</v>
      </c>
      <c r="I25" s="10" t="n">
        <f aca="false">I21/Inputs!$B$26*I$6</f>
        <v>13.0891113518986</v>
      </c>
      <c r="J25" s="10" t="n">
        <f aca="false">J21/Inputs!$B$26*J$6</f>
        <v>13.2417010470838</v>
      </c>
      <c r="K25" s="10" t="n">
        <f aca="false">K21/Inputs!$B$26*K$6</f>
        <v>13.396130180013</v>
      </c>
      <c r="L25" s="10" t="n">
        <f aca="false">L21/Inputs!$B$26*L$6</f>
        <v>13.5524153045905</v>
      </c>
      <c r="M25" s="10" t="n">
        <f aca="false">M21/Inputs!$B$26*M$6</f>
        <v>13.7105729500313</v>
      </c>
      <c r="N25" s="10" t="n">
        <f aca="false">N21/Inputs!$B$26*N$6</f>
        <v>13.8706196137089</v>
      </c>
      <c r="O25" s="10" t="n">
        <f aca="false">O21/Inputs!$B$26*O$6</f>
        <v>14.0325717537278</v>
      </c>
      <c r="P25" s="10" t="n">
        <f aca="false">P21/Inputs!$B$26*P$6</f>
        <v>14.1964457812121</v>
      </c>
      <c r="Q25" s="10" t="n">
        <f aca="false">Q21/Inputs!$B$26*Q$6</f>
        <v>14.3622580522993</v>
      </c>
      <c r="R25" s="10" t="n">
        <f aca="false">R21/Inputs!$B$26*R$6</f>
        <v>14.5300248598341</v>
      </c>
      <c r="S25" s="10" t="n">
        <f aca="false">S21/Inputs!$B$26*S$6</f>
        <v>14.6997624247495</v>
      </c>
      <c r="T25" s="10" t="n">
        <f aca="false">T21/Inputs!$B$26*T$6</f>
        <v>14.8714868871295</v>
      </c>
      <c r="U25" s="10" t="n">
        <f aca="false">U21/Inputs!$B$26*U$6</f>
        <v>15.0452142969398</v>
      </c>
      <c r="V25" s="10" t="n">
        <f aca="false">V21/Inputs!$B$26*V$6</f>
        <v>15.2209606044207</v>
      </c>
      <c r="W25" s="10" t="n">
        <f aca="false">W21/Inputs!$B$26*W$6</f>
        <v>0</v>
      </c>
      <c r="X25" s="10" t="n">
        <f aca="false">X21/Inputs!$B$26*X$6</f>
        <v>0</v>
      </c>
      <c r="Y25" s="10" t="n">
        <f aca="false">Y21/Inputs!$B$26*Y$6</f>
        <v>0</v>
      </c>
      <c r="Z25" s="10" t="n">
        <f aca="false">Z21/Inputs!$B$26*Z$6</f>
        <v>0</v>
      </c>
      <c r="AA25" s="10" t="n">
        <f aca="false">AA21/Inputs!$B$26*AA$6</f>
        <v>0</v>
      </c>
      <c r="AB25" s="10" t="n">
        <f aca="false">AB21/Inputs!$B$26*AB$6</f>
        <v>0</v>
      </c>
      <c r="AC25" s="10" t="n">
        <f aca="false">AC21/Inputs!$B$26*AC$6</f>
        <v>0</v>
      </c>
    </row>
    <row r="26" customFormat="false" ht="15" hidden="false" customHeight="false" outlineLevel="0" collapsed="false">
      <c r="A26" s="4" t="s">
        <v>122</v>
      </c>
      <c r="B26" s="4" t="s">
        <v>3</v>
      </c>
      <c r="E26" s="10" t="n">
        <f aca="false">E22/Inputs!$B$27*E$6</f>
        <v>12.1420916666667</v>
      </c>
      <c r="F26" s="10" t="n">
        <f aca="false">F22/Inputs!$B$27*F$6</f>
        <v>12.2788036241667</v>
      </c>
      <c r="G26" s="10" t="n">
        <f aca="false">G22/Inputs!$B$27*G$6</f>
        <v>12.4171264960834</v>
      </c>
      <c r="H26" s="10" t="n">
        <f aca="false">H22/Inputs!$B$27*H$6</f>
        <v>12.557073632698</v>
      </c>
      <c r="I26" s="10" t="n">
        <f aca="false">I22/Inputs!$B$27*I$6</f>
        <v>12.698658316902</v>
      </c>
      <c r="J26" s="10" t="n">
        <f aca="false">J22/Inputs!$B$27*J$6</f>
        <v>12.8418937565359</v>
      </c>
      <c r="K26" s="10" t="n">
        <f aca="false">K22/Inputs!$B$27*K$6</f>
        <v>12.9867930764465</v>
      </c>
      <c r="L26" s="10" t="n">
        <f aca="false">L22/Inputs!$B$27*L$6</f>
        <v>13.1333693102556</v>
      </c>
      <c r="M26" s="10" t="n">
        <f aca="false">M22/Inputs!$B$27*M$6</f>
        <v>13.281635391831</v>
      </c>
      <c r="N26" s="10" t="n">
        <f aca="false">N22/Inputs!$B$27*N$6</f>
        <v>13.4316041464515</v>
      </c>
      <c r="O26" s="10" t="n">
        <f aca="false">O22/Inputs!$B$27*O$6</f>
        <v>13.5832882816562</v>
      </c>
      <c r="P26" s="10" t="n">
        <f aca="false">P22/Inputs!$B$27*P$6</f>
        <v>13.7367003777694</v>
      </c>
      <c r="Q26" s="10" t="n">
        <f aca="false">Q22/Inputs!$B$27*Q$6</f>
        <v>13.891852878091</v>
      </c>
      <c r="R26" s="10" t="n">
        <f aca="false">R22/Inputs!$B$27*R$6</f>
        <v>14.0487580787429</v>
      </c>
      <c r="S26" s="10" t="n">
        <f aca="false">S22/Inputs!$B$27*S$6</f>
        <v>14.2074281181622</v>
      </c>
      <c r="T26" s="10" t="n">
        <f aca="false">T22/Inputs!$B$27*T$6</f>
        <v>14.3678749662282</v>
      </c>
      <c r="U26" s="10" t="n">
        <f aca="false">U22/Inputs!$B$27*U$6</f>
        <v>14.5301104130164</v>
      </c>
      <c r="V26" s="10" t="n">
        <f aca="false">V22/Inputs!$B$27*V$6</f>
        <v>14.6941460571649</v>
      </c>
      <c r="W26" s="10" t="n">
        <f aca="false">W22/Inputs!$B$27*W$6</f>
        <v>0</v>
      </c>
      <c r="X26" s="10" t="n">
        <f aca="false">X22/Inputs!$B$27*X$6</f>
        <v>0</v>
      </c>
      <c r="Y26" s="10" t="n">
        <f aca="false">Y22/Inputs!$B$27*Y$6</f>
        <v>0</v>
      </c>
      <c r="Z26" s="10" t="n">
        <f aca="false">Z22/Inputs!$B$27*Z$6</f>
        <v>0</v>
      </c>
      <c r="AA26" s="10" t="n">
        <f aca="false">AA22/Inputs!$B$27*AA$6</f>
        <v>0</v>
      </c>
      <c r="AB26" s="10" t="n">
        <f aca="false">AB22/Inputs!$B$27*AB$6</f>
        <v>0</v>
      </c>
      <c r="AC26" s="10" t="n">
        <f aca="false">AC22/Inputs!$B$27*AC$6</f>
        <v>0</v>
      </c>
    </row>
    <row r="27" customFormat="false" ht="15" hidden="false" customHeight="false" outlineLevel="0" collapsed="false">
      <c r="A27" s="4" t="s">
        <v>123</v>
      </c>
      <c r="B27" s="4" t="s">
        <v>3</v>
      </c>
      <c r="C27" s="10" t="n">
        <f aca="false">SUM(E27:AC27)</f>
        <v>240.829208588868</v>
      </c>
      <c r="E27" s="10" t="n">
        <f aca="false">MIN(E25,E26)</f>
        <v>12.1420916666667</v>
      </c>
      <c r="F27" s="10" t="n">
        <f aca="false">MIN(F25,F26)</f>
        <v>12.2788036241667</v>
      </c>
      <c r="G27" s="10" t="n">
        <f aca="false">MIN(G25,G26)</f>
        <v>12.4171264960834</v>
      </c>
      <c r="H27" s="10" t="n">
        <f aca="false">MIN(H25,H26)</f>
        <v>12.557073632698</v>
      </c>
      <c r="I27" s="10" t="n">
        <f aca="false">MIN(I25,I26)</f>
        <v>12.698658316902</v>
      </c>
      <c r="J27" s="10" t="n">
        <f aca="false">MIN(J25,J26)</f>
        <v>12.8418937565359</v>
      </c>
      <c r="K27" s="10" t="n">
        <f aca="false">MIN(K25,K26)</f>
        <v>12.9867930764465</v>
      </c>
      <c r="L27" s="10" t="n">
        <f aca="false">MIN(L25,L26)</f>
        <v>13.1333693102556</v>
      </c>
      <c r="M27" s="10" t="n">
        <f aca="false">MIN(M25,M26)</f>
        <v>13.281635391831</v>
      </c>
      <c r="N27" s="10" t="n">
        <f aca="false">MIN(N25,N26)</f>
        <v>13.4316041464515</v>
      </c>
      <c r="O27" s="10" t="n">
        <f aca="false">MIN(O25,O26)</f>
        <v>13.5832882816562</v>
      </c>
      <c r="P27" s="10" t="n">
        <f aca="false">MIN(P25,P26)</f>
        <v>13.7367003777694</v>
      </c>
      <c r="Q27" s="10" t="n">
        <f aca="false">MIN(Q25,Q26)</f>
        <v>13.891852878091</v>
      </c>
      <c r="R27" s="10" t="n">
        <f aca="false">MIN(R25,R26)</f>
        <v>14.0487580787429</v>
      </c>
      <c r="S27" s="10" t="n">
        <f aca="false">MIN(S25,S26)</f>
        <v>14.2074281181622</v>
      </c>
      <c r="T27" s="10" t="n">
        <f aca="false">MIN(T25,T26)</f>
        <v>14.3678749662282</v>
      </c>
      <c r="U27" s="10" t="n">
        <f aca="false">MIN(U25,U26)</f>
        <v>14.5301104130164</v>
      </c>
      <c r="V27" s="10" t="n">
        <f aca="false">MIN(V25,V26)</f>
        <v>14.6941460571649</v>
      </c>
      <c r="W27" s="10" t="n">
        <f aca="false">MIN(W25,W26)</f>
        <v>0</v>
      </c>
      <c r="X27" s="10" t="n">
        <f aca="false">MIN(X25,X26)</f>
        <v>0</v>
      </c>
      <c r="Y27" s="10" t="n">
        <f aca="false">MIN(Y25,Y26)</f>
        <v>0</v>
      </c>
      <c r="Z27" s="10" t="n">
        <f aca="false">MIN(Z25,Z26)</f>
        <v>0</v>
      </c>
      <c r="AA27" s="10" t="n">
        <f aca="false">MIN(AA25,AA26)</f>
        <v>0</v>
      </c>
      <c r="AB27" s="10" t="n">
        <f aca="false">MIN(AB25,AB26)</f>
        <v>0</v>
      </c>
      <c r="AC27" s="10" t="n">
        <f aca="false">MIN(AC25,AC26)</f>
        <v>0</v>
      </c>
    </row>
    <row r="28" customFormat="false" ht="15" hidden="false" customHeight="false" outlineLevel="0" collapsed="false">
      <c r="A28" s="4" t="s">
        <v>124</v>
      </c>
      <c r="B28" s="4" t="s">
        <v>3</v>
      </c>
      <c r="C28" s="10" t="n">
        <f aca="false">NPV(Inputs!$B$25,E27:AC27)</f>
        <v>136.99148962505</v>
      </c>
    </row>
    <row r="29" customFormat="false" ht="15" hidden="false" customHeight="false" outlineLevel="0" collapsed="false">
      <c r="A29" s="4" t="s">
        <v>125</v>
      </c>
      <c r="B29" s="4" t="s">
        <v>3</v>
      </c>
      <c r="C29" s="10" t="n">
        <f aca="false">Inputs!$B$28*Inputs!$B$19</f>
        <v>140</v>
      </c>
    </row>
    <row r="30" customFormat="false" ht="15" hidden="false" customHeight="false" outlineLevel="0" collapsed="false">
      <c r="A30" s="21" t="s">
        <v>126</v>
      </c>
      <c r="B30" s="4" t="s">
        <v>3</v>
      </c>
      <c r="C30" s="13" t="n">
        <f aca="false">MIN(C28,C29)</f>
        <v>136.99148962505</v>
      </c>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row>
    <row r="31" customFormat="false" ht="15" hidden="false" customHeight="false" outlineLevel="0" collapsed="false">
      <c r="A31" s="4" t="s">
        <v>127</v>
      </c>
      <c r="B31" s="4"/>
      <c r="C31" s="11" t="str">
        <f aca="false">IF(C29&lt;C28,"Gearing","DSCR")</f>
        <v>DSCR</v>
      </c>
    </row>
    <row r="32" customFormat="false" ht="15" hidden="false" customHeight="false" outlineLevel="0" collapsed="false">
      <c r="A32" s="4" t="s">
        <v>128</v>
      </c>
      <c r="B32" s="4" t="s">
        <v>83</v>
      </c>
      <c r="C32" s="39" t="n">
        <f aca="false">IF(C28&gt;0,C30/C28,0)</f>
        <v>1</v>
      </c>
    </row>
    <row r="33" customFormat="false" ht="15" hidden="false" customHeight="false" outlineLevel="0" collapsed="false">
      <c r="A33" s="21" t="s">
        <v>129</v>
      </c>
      <c r="B33" s="4" t="s">
        <v>3</v>
      </c>
      <c r="C33" s="13" t="n">
        <f aca="false">SUM(E33:AC33)</f>
        <v>240.829208588868</v>
      </c>
      <c r="D33" s="15"/>
      <c r="E33" s="13" t="n">
        <f aca="false">E27*$C$32</f>
        <v>12.1420916666667</v>
      </c>
      <c r="F33" s="13" t="n">
        <f aca="false">F27*$C$32</f>
        <v>12.2788036241667</v>
      </c>
      <c r="G33" s="13" t="n">
        <f aca="false">G27*$C$32</f>
        <v>12.4171264960834</v>
      </c>
      <c r="H33" s="13" t="n">
        <f aca="false">H27*$C$32</f>
        <v>12.557073632698</v>
      </c>
      <c r="I33" s="13" t="n">
        <f aca="false">I27*$C$32</f>
        <v>12.698658316902</v>
      </c>
      <c r="J33" s="13" t="n">
        <f aca="false">J27*$C$32</f>
        <v>12.8418937565359</v>
      </c>
      <c r="K33" s="13" t="n">
        <f aca="false">K27*$C$32</f>
        <v>12.9867930764465</v>
      </c>
      <c r="L33" s="13" t="n">
        <f aca="false">L27*$C$32</f>
        <v>13.1333693102556</v>
      </c>
      <c r="M33" s="13" t="n">
        <f aca="false">M27*$C$32</f>
        <v>13.281635391831</v>
      </c>
      <c r="N33" s="13" t="n">
        <f aca="false">N27*$C$32</f>
        <v>13.4316041464515</v>
      </c>
      <c r="O33" s="13" t="n">
        <f aca="false">O27*$C$32</f>
        <v>13.5832882816562</v>
      </c>
      <c r="P33" s="13" t="n">
        <f aca="false">P27*$C$32</f>
        <v>13.7367003777694</v>
      </c>
      <c r="Q33" s="13" t="n">
        <f aca="false">Q27*$C$32</f>
        <v>13.891852878091</v>
      </c>
      <c r="R33" s="13" t="n">
        <f aca="false">R27*$C$32</f>
        <v>14.0487580787429</v>
      </c>
      <c r="S33" s="13" t="n">
        <f aca="false">S27*$C$32</f>
        <v>14.2074281181622</v>
      </c>
      <c r="T33" s="13" t="n">
        <f aca="false">T27*$C$32</f>
        <v>14.3678749662282</v>
      </c>
      <c r="U33" s="13" t="n">
        <f aca="false">U27*$C$32</f>
        <v>14.5301104130164</v>
      </c>
      <c r="V33" s="13" t="n">
        <f aca="false">V27*$C$32</f>
        <v>14.6941460571649</v>
      </c>
      <c r="W33" s="13" t="n">
        <f aca="false">W27*$C$32</f>
        <v>0</v>
      </c>
      <c r="X33" s="13" t="n">
        <f aca="false">X27*$C$32</f>
        <v>0</v>
      </c>
      <c r="Y33" s="13" t="n">
        <f aca="false">Y27*$C$32</f>
        <v>0</v>
      </c>
      <c r="Z33" s="13" t="n">
        <f aca="false">Z27*$C$32</f>
        <v>0</v>
      </c>
      <c r="AA33" s="13" t="n">
        <f aca="false">AA27*$C$32</f>
        <v>0</v>
      </c>
      <c r="AB33" s="13" t="n">
        <f aca="false">AB27*$C$32</f>
        <v>0</v>
      </c>
      <c r="AC33" s="13" t="n">
        <f aca="false">AC27*$C$32</f>
        <v>0</v>
      </c>
    </row>
    <row r="35" customFormat="false" ht="15" hidden="false" customHeight="false" outlineLevel="0" collapsed="false">
      <c r="A35" s="23" t="s">
        <v>130</v>
      </c>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row>
    <row r="36" customFormat="false" ht="15" hidden="false" customHeight="false" outlineLevel="0" collapsed="false">
      <c r="A36" s="4" t="s">
        <v>131</v>
      </c>
      <c r="B36" s="4" t="s">
        <v>3</v>
      </c>
      <c r="E36" s="10" t="n">
        <f aca="false">E21/Inputs!$B$32*E$7</f>
        <v>14.1268347826087</v>
      </c>
      <c r="F36" s="10" t="n">
        <f aca="false">F21/Inputs!$B$32*F$7</f>
        <v>14.2911974469565</v>
      </c>
      <c r="G36" s="10" t="n">
        <f aca="false">G21/Inputs!$B$32*G$7</f>
        <v>14.4575644954379</v>
      </c>
      <c r="H36" s="10" t="n">
        <f aca="false">H21/Inputs!$B$32*H$7</f>
        <v>14.6259546778873</v>
      </c>
      <c r="I36" s="10" t="n">
        <f aca="false">I21/Inputs!$B$32*I$7</f>
        <v>14.7963867456245</v>
      </c>
      <c r="J36" s="10" t="n">
        <f aca="false">J21/Inputs!$B$32*J$7</f>
        <v>14.9688794445296</v>
      </c>
      <c r="K36" s="10" t="n">
        <f aca="false">K21/Inputs!$B$32*K$7</f>
        <v>15.1434515078407</v>
      </c>
      <c r="L36" s="10" t="n">
        <f aca="false">L21/Inputs!$B$32*L$7</f>
        <v>15.3201216486676</v>
      </c>
      <c r="M36" s="10" t="n">
        <f aca="false">M21/Inputs!$B$32*M$7</f>
        <v>15.4989085522093</v>
      </c>
      <c r="N36" s="10" t="n">
        <f aca="false">N21/Inputs!$B$32*N$7</f>
        <v>15.6798308676709</v>
      </c>
      <c r="O36" s="10" t="n">
        <f aca="false">O21/Inputs!$B$32*O$7</f>
        <v>15.8629071998663</v>
      </c>
      <c r="P36" s="10" t="n">
        <f aca="false">P21/Inputs!$B$32*P$7</f>
        <v>16.0481561005006</v>
      </c>
      <c r="Q36" s="10" t="n">
        <f aca="false">Q21/Inputs!$B$32*Q$7</f>
        <v>16.235596059121</v>
      </c>
      <c r="R36" s="10" t="n">
        <f aca="false">R21/Inputs!$B$32*R$7</f>
        <v>16.4252454937255</v>
      </c>
      <c r="S36" s="10" t="n">
        <f aca="false">S21/Inputs!$B$32*S$7</f>
        <v>16.6171227410212</v>
      </c>
      <c r="T36" s="10" t="n">
        <f aca="false">T21/Inputs!$B$32*T$7</f>
        <v>16.8112460463203</v>
      </c>
      <c r="U36" s="10" t="n">
        <f aca="false">U21/Inputs!$B$32*U$7</f>
        <v>17.0076335530624</v>
      </c>
      <c r="V36" s="10" t="n">
        <f aca="false">V21/Inputs!$B$32*V$7</f>
        <v>17.2063032919538</v>
      </c>
      <c r="W36" s="10" t="n">
        <f aca="false">W21/Inputs!$B$32*W$7</f>
        <v>0</v>
      </c>
      <c r="X36" s="10" t="n">
        <f aca="false">X21/Inputs!$B$32*X$7</f>
        <v>0</v>
      </c>
      <c r="Y36" s="10" t="n">
        <f aca="false">Y21/Inputs!$B$32*Y$7</f>
        <v>0</v>
      </c>
      <c r="Z36" s="10" t="n">
        <f aca="false">Z21/Inputs!$B$32*Z$7</f>
        <v>0</v>
      </c>
      <c r="AA36" s="10" t="n">
        <f aca="false">AA21/Inputs!$B$32*AA$7</f>
        <v>0</v>
      </c>
      <c r="AB36" s="10" t="n">
        <f aca="false">AB21/Inputs!$B$32*AB$7</f>
        <v>0</v>
      </c>
      <c r="AC36" s="10" t="n">
        <f aca="false">AC21/Inputs!$B$32*AC$7</f>
        <v>0</v>
      </c>
    </row>
    <row r="37" customFormat="false" ht="15" hidden="false" customHeight="false" outlineLevel="0" collapsed="false">
      <c r="A37" s="4" t="s">
        <v>132</v>
      </c>
      <c r="B37" s="4" t="s">
        <v>3</v>
      </c>
      <c r="E37" s="10" t="n">
        <f aca="false">E22/Inputs!$B$33*E$7</f>
        <v>13.8766761904762</v>
      </c>
      <c r="F37" s="10" t="n">
        <f aca="false">F22/Inputs!$B$33*F$7</f>
        <v>14.032918427619</v>
      </c>
      <c r="G37" s="10" t="n">
        <f aca="false">G22/Inputs!$B$33*G$7</f>
        <v>14.1910017098096</v>
      </c>
      <c r="H37" s="10" t="n">
        <f aca="false">H22/Inputs!$B$33*H$7</f>
        <v>14.350941294512</v>
      </c>
      <c r="I37" s="10" t="n">
        <f aca="false">I22/Inputs!$B$33*I$7</f>
        <v>14.5127523621737</v>
      </c>
      <c r="J37" s="10" t="n">
        <f aca="false">J22/Inputs!$B$33*J$7</f>
        <v>14.6764500074696</v>
      </c>
      <c r="K37" s="10" t="n">
        <f aca="false">K22/Inputs!$B$33*K$7</f>
        <v>14.8420492302246</v>
      </c>
      <c r="L37" s="10" t="n">
        <f aca="false">L22/Inputs!$B$33*L$7</f>
        <v>15.0095649260064</v>
      </c>
      <c r="M37" s="10" t="n">
        <f aca="false">M22/Inputs!$B$33*M$7</f>
        <v>15.1790118763782</v>
      </c>
      <c r="N37" s="10" t="n">
        <f aca="false">N22/Inputs!$B$33*N$7</f>
        <v>15.3504047388017</v>
      </c>
      <c r="O37" s="10" t="n">
        <f aca="false">O22/Inputs!$B$33*O$7</f>
        <v>15.5237580361785</v>
      </c>
      <c r="P37" s="10" t="n">
        <f aca="false">P22/Inputs!$B$33*P$7</f>
        <v>15.6990861460222</v>
      </c>
      <c r="Q37" s="10" t="n">
        <f aca="false">Q22/Inputs!$B$33*Q$7</f>
        <v>15.8764032892468</v>
      </c>
      <c r="R37" s="10" t="n">
        <f aca="false">R22/Inputs!$B$33*R$7</f>
        <v>16.0557235185633</v>
      </c>
      <c r="S37" s="10" t="n">
        <f aca="false">S22/Inputs!$B$33*S$7</f>
        <v>16.237060706471</v>
      </c>
      <c r="T37" s="10" t="n">
        <f aca="false">T22/Inputs!$B$33*T$7</f>
        <v>16.4204285328323</v>
      </c>
      <c r="U37" s="10" t="n">
        <f aca="false">U22/Inputs!$B$33*U$7</f>
        <v>16.6058404720188</v>
      </c>
      <c r="V37" s="10" t="n">
        <f aca="false">V22/Inputs!$B$33*V$7</f>
        <v>16.793309779617</v>
      </c>
      <c r="W37" s="10" t="n">
        <f aca="false">W22/Inputs!$B$33*W$7</f>
        <v>0</v>
      </c>
      <c r="X37" s="10" t="n">
        <f aca="false">X22/Inputs!$B$33*X$7</f>
        <v>0</v>
      </c>
      <c r="Y37" s="10" t="n">
        <f aca="false">Y22/Inputs!$B$33*Y$7</f>
        <v>0</v>
      </c>
      <c r="Z37" s="10" t="n">
        <f aca="false">Z22/Inputs!$B$33*Z$7</f>
        <v>0</v>
      </c>
      <c r="AA37" s="10" t="n">
        <f aca="false">AA22/Inputs!$B$33*AA$7</f>
        <v>0</v>
      </c>
      <c r="AB37" s="10" t="n">
        <f aca="false">AB22/Inputs!$B$33*AB$7</f>
        <v>0</v>
      </c>
      <c r="AC37" s="10" t="n">
        <f aca="false">AC22/Inputs!$B$33*AC$7</f>
        <v>0</v>
      </c>
    </row>
    <row r="38" customFormat="false" ht="15" hidden="false" customHeight="false" outlineLevel="0" collapsed="false">
      <c r="A38" s="4" t="s">
        <v>133</v>
      </c>
      <c r="B38" s="4" t="s">
        <v>3</v>
      </c>
      <c r="C38" s="10" t="n">
        <f aca="false">SUM(E38:AC38)</f>
        <v>34.4041726555526</v>
      </c>
      <c r="E38" s="10" t="n">
        <f aca="false">MAX(0,MIN(E36,E37)-E33)*E$7</f>
        <v>1.73458452380952</v>
      </c>
      <c r="F38" s="10" t="n">
        <f aca="false">MAX(0,MIN(F36,F37)-F33)*F$7</f>
        <v>1.75411480345238</v>
      </c>
      <c r="G38" s="10" t="n">
        <f aca="false">MAX(0,MIN(G36,G37)-G33)*G$7</f>
        <v>1.7738752137262</v>
      </c>
      <c r="H38" s="10" t="n">
        <f aca="false">MAX(0,MIN(H36,H37)-H33)*H$7</f>
        <v>1.793867661814</v>
      </c>
      <c r="I38" s="10" t="n">
        <f aca="false">MAX(0,MIN(I36,I37)-I33)*I$7</f>
        <v>1.81409404527171</v>
      </c>
      <c r="J38" s="10" t="n">
        <f aca="false">MAX(0,MIN(J36,J37)-J33)*J$7</f>
        <v>1.8345562509337</v>
      </c>
      <c r="K38" s="10" t="n">
        <f aca="false">MAX(0,MIN(K36,K37)-K33)*K$7</f>
        <v>1.85525615377807</v>
      </c>
      <c r="L38" s="10" t="n">
        <f aca="false">MAX(0,MIN(L36,L37)-L33)*L$7</f>
        <v>1.8761956157508</v>
      </c>
      <c r="M38" s="10" t="n">
        <f aca="false">MAX(0,MIN(M36,M37)-M33)*M$7</f>
        <v>1.89737648454728</v>
      </c>
      <c r="N38" s="10" t="n">
        <f aca="false">MAX(0,MIN(N36,N37)-N33)*N$7</f>
        <v>1.91880059235021</v>
      </c>
      <c r="O38" s="10" t="n">
        <f aca="false">MAX(0,MIN(O36,O37)-O33)*O$7</f>
        <v>1.94046975452232</v>
      </c>
      <c r="P38" s="10" t="n">
        <f aca="false">MAX(0,MIN(P36,P37)-P33)*P$7</f>
        <v>1.96238576825277</v>
      </c>
      <c r="Q38" s="10" t="n">
        <f aca="false">MAX(0,MIN(Q36,Q37)-Q33)*Q$7</f>
        <v>1.98455041115585</v>
      </c>
      <c r="R38" s="10" t="n">
        <f aca="false">MAX(0,MIN(R36,R37)-R33)*R$7</f>
        <v>2.00696543982042</v>
      </c>
      <c r="S38" s="10" t="n">
        <f aca="false">MAX(0,MIN(S36,S37)-S33)*S$7</f>
        <v>2.02963258830888</v>
      </c>
      <c r="T38" s="10" t="n">
        <f aca="false">MAX(0,MIN(T36,T37)-T33)*T$7</f>
        <v>2.05255356660403</v>
      </c>
      <c r="U38" s="10" t="n">
        <f aca="false">MAX(0,MIN(U36,U37)-U33)*U$7</f>
        <v>2.07573005900235</v>
      </c>
      <c r="V38" s="10" t="n">
        <f aca="false">MAX(0,MIN(V36,V37)-V33)*V$7</f>
        <v>2.09916372245213</v>
      </c>
      <c r="W38" s="10" t="n">
        <f aca="false">MAX(0,MIN(W36,W37)-W33)*W$7</f>
        <v>0</v>
      </c>
      <c r="X38" s="10" t="n">
        <f aca="false">MAX(0,MIN(X36,X37)-X33)*X$7</f>
        <v>0</v>
      </c>
      <c r="Y38" s="10" t="n">
        <f aca="false">MAX(0,MIN(Y36,Y37)-Y33)*Y$7</f>
        <v>0</v>
      </c>
      <c r="Z38" s="10" t="n">
        <f aca="false">MAX(0,MIN(Z36,Z37)-Z33)*Z$7</f>
        <v>0</v>
      </c>
      <c r="AA38" s="10" t="n">
        <f aca="false">MAX(0,MIN(AA36,AA37)-AA33)*AA$7</f>
        <v>0</v>
      </c>
      <c r="AB38" s="10" t="n">
        <f aca="false">MAX(0,MIN(AB36,AB37)-AB33)*AB$7</f>
        <v>0</v>
      </c>
      <c r="AC38" s="10" t="n">
        <f aca="false">MAX(0,MIN(AC36,AC37)-AC33)*AC$7</f>
        <v>0</v>
      </c>
    </row>
    <row r="39" customFormat="false" ht="15" hidden="false" customHeight="false" outlineLevel="0" collapsed="false">
      <c r="A39" s="4" t="s">
        <v>134</v>
      </c>
      <c r="B39" s="4" t="s">
        <v>3</v>
      </c>
      <c r="C39" s="10" t="n">
        <f aca="false">NPV(Inputs!$B$31,E38:AC38)</f>
        <v>15.2478206011981</v>
      </c>
    </row>
    <row r="40" customFormat="false" ht="15" hidden="false" customHeight="false" outlineLevel="0" collapsed="false">
      <c r="A40" s="4" t="s">
        <v>135</v>
      </c>
      <c r="B40" s="4" t="s">
        <v>3</v>
      </c>
      <c r="C40" s="10" t="n">
        <f aca="false">MAX(0,Inputs!$B$34*Inputs!$B$19-C30)</f>
        <v>11.7585103749505</v>
      </c>
    </row>
    <row r="41" customFormat="false" ht="15" hidden="false" customHeight="false" outlineLevel="0" collapsed="false">
      <c r="A41" s="21" t="s">
        <v>136</v>
      </c>
      <c r="B41" s="4" t="s">
        <v>3</v>
      </c>
      <c r="C41" s="13" t="n">
        <f aca="false">MIN(C39,C40)</f>
        <v>11.7585103749505</v>
      </c>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row>
    <row r="42" customFormat="false" ht="15" hidden="false" customHeight="false" outlineLevel="0" collapsed="false">
      <c r="A42" s="4" t="s">
        <v>127</v>
      </c>
      <c r="B42" s="4"/>
      <c r="C42" s="11" t="str">
        <f aca="false">IF(C40&lt;C39,"Gearing","DSCR")</f>
        <v>Gearing</v>
      </c>
    </row>
    <row r="43" customFormat="false" ht="15" hidden="false" customHeight="false" outlineLevel="0" collapsed="false">
      <c r="A43" s="4" t="s">
        <v>128</v>
      </c>
      <c r="B43" s="4" t="s">
        <v>83</v>
      </c>
      <c r="C43" s="39" t="n">
        <f aca="false">IF(C39&gt;0,C41/C39,0)</f>
        <v>0.77116006821503</v>
      </c>
    </row>
    <row r="44" customFormat="false" ht="15" hidden="false" customHeight="false" outlineLevel="0" collapsed="false">
      <c r="A44" s="21" t="s">
        <v>137</v>
      </c>
      <c r="B44" s="4" t="s">
        <v>3</v>
      </c>
      <c r="C44" s="13" t="n">
        <f aca="false">SUM(E44:AC44)</f>
        <v>26.5311241319376</v>
      </c>
      <c r="D44" s="15"/>
      <c r="E44" s="13" t="n">
        <f aca="false">E38*$C$43</f>
        <v>1.33764231970569</v>
      </c>
      <c r="F44" s="13" t="n">
        <f aca="false">F38*$C$43</f>
        <v>1.35270329148733</v>
      </c>
      <c r="G44" s="13" t="n">
        <f aca="false">G38*$C$43</f>
        <v>1.36794173082205</v>
      </c>
      <c r="H44" s="13" t="n">
        <f aca="false">H38*$C$43</f>
        <v>1.38335910845322</v>
      </c>
      <c r="I44" s="13" t="n">
        <f aca="false">I38*$C$43</f>
        <v>1.39895688770021</v>
      </c>
      <c r="J44" s="13" t="n">
        <f aca="false">J38*$C$43</f>
        <v>1.41473652361434</v>
      </c>
      <c r="K44" s="13" t="n">
        <f aca="false">K38*$C$43</f>
        <v>1.43069946210385</v>
      </c>
      <c r="L44" s="13" t="n">
        <f aca="false">L38*$C$43</f>
        <v>1.44684713902712</v>
      </c>
      <c r="M44" s="13" t="n">
        <f aca="false">M38*$C$43</f>
        <v>1.46318097925307</v>
      </c>
      <c r="N44" s="13" t="n">
        <f aca="false">N38*$C$43</f>
        <v>1.47970239568783</v>
      </c>
      <c r="O44" s="13" t="n">
        <f aca="false">O38*$C$43</f>
        <v>1.49641278826663</v>
      </c>
      <c r="P44" s="13" t="n">
        <f aca="false">P38*$C$43</f>
        <v>1.51331354291001</v>
      </c>
      <c r="Q44" s="13" t="n">
        <f aca="false">Q38*$C$43</f>
        <v>1.53040603044311</v>
      </c>
      <c r="R44" s="13" t="n">
        <f aca="false">R38*$C$43</f>
        <v>1.54769160547712</v>
      </c>
      <c r="S44" s="13" t="n">
        <f aca="false">S38*$C$43</f>
        <v>1.56517160525172</v>
      </c>
      <c r="T44" s="13" t="n">
        <f aca="false">T38*$C$43</f>
        <v>1.58284734843737</v>
      </c>
      <c r="U44" s="13" t="n">
        <f aca="false">U38*$C$43</f>
        <v>1.60072013389624</v>
      </c>
      <c r="V44" s="13" t="n">
        <f aca="false">V38*$C$43</f>
        <v>1.6187912394007</v>
      </c>
      <c r="W44" s="13" t="n">
        <f aca="false">W38*$C$43</f>
        <v>0</v>
      </c>
      <c r="X44" s="13" t="n">
        <f aca="false">X38*$C$43</f>
        <v>0</v>
      </c>
      <c r="Y44" s="13" t="n">
        <f aca="false">Y38*$C$43</f>
        <v>0</v>
      </c>
      <c r="Z44" s="13" t="n">
        <f aca="false">Z38*$C$43</f>
        <v>0</v>
      </c>
      <c r="AA44" s="13" t="n">
        <f aca="false">AA38*$C$43</f>
        <v>0</v>
      </c>
      <c r="AB44" s="13" t="n">
        <f aca="false">AB38*$C$43</f>
        <v>0</v>
      </c>
      <c r="AC44" s="13" t="n">
        <f aca="false">AC38*$C$43</f>
        <v>0</v>
      </c>
    </row>
    <row r="46" customFormat="false" ht="15" hidden="false" customHeight="false" outlineLevel="0" collapsed="false">
      <c r="A46" s="23" t="s">
        <v>138</v>
      </c>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row>
    <row r="47" customFormat="false" ht="15" hidden="false" customHeight="false" outlineLevel="0" collapsed="false">
      <c r="A47" s="4" t="s">
        <v>139</v>
      </c>
      <c r="B47" s="4" t="s">
        <v>3</v>
      </c>
      <c r="D47" s="10" t="n">
        <f aca="false">0</f>
        <v>0</v>
      </c>
      <c r="E47" s="10" t="n">
        <f aca="false">D51</f>
        <v>136.99148962505</v>
      </c>
      <c r="F47" s="10" t="n">
        <f aca="false">E51</f>
        <v>133.753844784011</v>
      </c>
      <c r="G47" s="10" t="n">
        <f aca="false">F51</f>
        <v>130.169041070805</v>
      </c>
      <c r="H47" s="10" t="n">
        <f aca="false">G51</f>
        <v>126.212902244324</v>
      </c>
      <c r="I47" s="10" t="n">
        <f aca="false">H51</f>
        <v>121.859667257507</v>
      </c>
      <c r="J47" s="10" t="n">
        <f aca="false">I51</f>
        <v>117.081887312343</v>
      </c>
      <c r="K47" s="10" t="n">
        <f aca="false">J51</f>
        <v>111.850316231109</v>
      </c>
      <c r="L47" s="10" t="n">
        <f aca="false">K51</f>
        <v>106.133793709685</v>
      </c>
      <c r="M47" s="10" t="n">
        <f aca="false">L51</f>
        <v>99.8991209905591</v>
      </c>
      <c r="N47" s="10" t="n">
        <f aca="false">M51</f>
        <v>93.1109284631144</v>
      </c>
      <c r="O47" s="10" t="n">
        <f aca="false">N51</f>
        <v>85.7315346667654</v>
      </c>
      <c r="P47" s="10" t="n">
        <f aca="false">O51</f>
        <v>77.7207961384489</v>
      </c>
      <c r="Q47" s="10" t="n">
        <f aca="false">P51</f>
        <v>69.0359475096787</v>
      </c>
      <c r="R47" s="10" t="n">
        <f aca="false">Q51</f>
        <v>59.6314312197168</v>
      </c>
      <c r="S47" s="10" t="n">
        <f aca="false">R51</f>
        <v>49.4587161702555</v>
      </c>
      <c r="T47" s="10" t="n">
        <f aca="false">S51</f>
        <v>38.46610460316</v>
      </c>
      <c r="U47" s="10" t="n">
        <f aca="false">T51</f>
        <v>26.5985264361371</v>
      </c>
      <c r="V47" s="10" t="n">
        <f aca="false">U51</f>
        <v>13.7973202414696</v>
      </c>
      <c r="W47" s="10" t="n">
        <f aca="false">V51</f>
        <v>2.1316282072803E-013</v>
      </c>
      <c r="X47" s="10" t="n">
        <f aca="false">W51</f>
        <v>2.27018404075352E-013</v>
      </c>
      <c r="Y47" s="10" t="n">
        <f aca="false">X51</f>
        <v>2.4177460034025E-013</v>
      </c>
      <c r="Z47" s="10" t="n">
        <f aca="false">Y51</f>
        <v>2.57489949362366E-013</v>
      </c>
      <c r="AA47" s="10" t="n">
        <f aca="false">Z51</f>
        <v>2.7422679607092E-013</v>
      </c>
      <c r="AB47" s="10" t="n">
        <f aca="false">AA51</f>
        <v>2.9205153781553E-013</v>
      </c>
      <c r="AC47" s="10" t="n">
        <f aca="false">AB51</f>
        <v>3.11034887773539E-013</v>
      </c>
    </row>
    <row r="48" customFormat="false" ht="15" hidden="false" customHeight="false" outlineLevel="0" collapsed="false">
      <c r="A48" s="4" t="s">
        <v>140</v>
      </c>
      <c r="B48" s="4" t="s">
        <v>3</v>
      </c>
      <c r="C48" s="10" t="n">
        <f aca="false">SUM(D48:AC48)</f>
        <v>136.99148962505</v>
      </c>
      <c r="D48" s="10" t="n">
        <f aca="false">C30</f>
        <v>136.99148962505</v>
      </c>
      <c r="E48" s="10" t="n">
        <f aca="false">0</f>
        <v>0</v>
      </c>
      <c r="F48" s="10" t="n">
        <f aca="false">0</f>
        <v>0</v>
      </c>
      <c r="G48" s="10" t="n">
        <f aca="false">0</f>
        <v>0</v>
      </c>
      <c r="H48" s="10" t="n">
        <f aca="false">0</f>
        <v>0</v>
      </c>
      <c r="I48" s="10" t="n">
        <f aca="false">0</f>
        <v>0</v>
      </c>
      <c r="J48" s="10" t="n">
        <f aca="false">0</f>
        <v>0</v>
      </c>
      <c r="K48" s="10" t="n">
        <f aca="false">0</f>
        <v>0</v>
      </c>
      <c r="L48" s="10" t="n">
        <f aca="false">0</f>
        <v>0</v>
      </c>
      <c r="M48" s="10" t="n">
        <f aca="false">0</f>
        <v>0</v>
      </c>
      <c r="N48" s="10" t="n">
        <f aca="false">0</f>
        <v>0</v>
      </c>
      <c r="O48" s="10" t="n">
        <f aca="false">0</f>
        <v>0</v>
      </c>
      <c r="P48" s="10" t="n">
        <f aca="false">0</f>
        <v>0</v>
      </c>
      <c r="Q48" s="10" t="n">
        <f aca="false">0</f>
        <v>0</v>
      </c>
      <c r="R48" s="10" t="n">
        <f aca="false">0</f>
        <v>0</v>
      </c>
      <c r="S48" s="10" t="n">
        <f aca="false">0</f>
        <v>0</v>
      </c>
      <c r="T48" s="10" t="n">
        <f aca="false">0</f>
        <v>0</v>
      </c>
      <c r="U48" s="10" t="n">
        <f aca="false">0</f>
        <v>0</v>
      </c>
      <c r="V48" s="10" t="n">
        <f aca="false">0</f>
        <v>0</v>
      </c>
      <c r="W48" s="10" t="n">
        <f aca="false">0</f>
        <v>0</v>
      </c>
      <c r="X48" s="10" t="n">
        <f aca="false">0</f>
        <v>0</v>
      </c>
      <c r="Y48" s="10" t="n">
        <f aca="false">0</f>
        <v>0</v>
      </c>
      <c r="Z48" s="10" t="n">
        <f aca="false">0</f>
        <v>0</v>
      </c>
      <c r="AA48" s="10" t="n">
        <f aca="false">0</f>
        <v>0</v>
      </c>
      <c r="AB48" s="10" t="n">
        <f aca="false">0</f>
        <v>0</v>
      </c>
      <c r="AC48" s="10" t="n">
        <f aca="false">0</f>
        <v>0</v>
      </c>
    </row>
    <row r="49" customFormat="false" ht="15" hidden="false" customHeight="false" outlineLevel="0" collapsed="false">
      <c r="A49" s="4" t="s">
        <v>141</v>
      </c>
      <c r="B49" s="4" t="s">
        <v>3</v>
      </c>
      <c r="C49" s="10" t="n">
        <f aca="false">SUM(D49:AC49)</f>
        <v>103.837718963819</v>
      </c>
      <c r="D49" s="10" t="n">
        <f aca="false">0</f>
        <v>0</v>
      </c>
      <c r="E49" s="10" t="n">
        <f aca="false">E47*Inputs!$B$25</f>
        <v>8.90444682562822</v>
      </c>
      <c r="F49" s="10" t="n">
        <f aca="false">F47*Inputs!$B$25</f>
        <v>8.69399991096072</v>
      </c>
      <c r="G49" s="10" t="n">
        <f aca="false">G47*Inputs!$B$25</f>
        <v>8.46098766960233</v>
      </c>
      <c r="H49" s="10" t="n">
        <f aca="false">H47*Inputs!$B$25</f>
        <v>8.20383864588106</v>
      </c>
      <c r="I49" s="10" t="n">
        <f aca="false">I47*Inputs!$B$25</f>
        <v>7.92087837173796</v>
      </c>
      <c r="J49" s="10" t="n">
        <f aca="false">J47*Inputs!$B$25</f>
        <v>7.6103226753023</v>
      </c>
      <c r="K49" s="10" t="n">
        <f aca="false">K47*Inputs!$B$25</f>
        <v>7.27027055502212</v>
      </c>
      <c r="L49" s="10" t="n">
        <f aca="false">L47*Inputs!$B$25</f>
        <v>6.89869659112953</v>
      </c>
      <c r="M49" s="10" t="n">
        <f aca="false">M47*Inputs!$B$25</f>
        <v>6.49344286438634</v>
      </c>
      <c r="N49" s="10" t="n">
        <f aca="false">N47*Inputs!$B$25</f>
        <v>6.05221035010244</v>
      </c>
      <c r="O49" s="10" t="n">
        <f aca="false">O47*Inputs!$B$25</f>
        <v>5.57254975333975</v>
      </c>
      <c r="P49" s="10" t="n">
        <f aca="false">P47*Inputs!$B$25</f>
        <v>5.05185174899918</v>
      </c>
      <c r="Q49" s="10" t="n">
        <f aca="false">Q47*Inputs!$B$25</f>
        <v>4.48733658812911</v>
      </c>
      <c r="R49" s="10" t="n">
        <f aca="false">R47*Inputs!$B$25</f>
        <v>3.8760430292816</v>
      </c>
      <c r="S49" s="10" t="n">
        <f aca="false">S47*Inputs!$B$25</f>
        <v>3.21481655106661</v>
      </c>
      <c r="T49" s="10" t="n">
        <f aca="false">T47*Inputs!$B$25</f>
        <v>2.5002967992054</v>
      </c>
      <c r="U49" s="10" t="n">
        <f aca="false">U47*Inputs!$B$25</f>
        <v>1.72890421834891</v>
      </c>
      <c r="V49" s="10" t="n">
        <f aca="false">V47*Inputs!$B$25</f>
        <v>0.896825815695524</v>
      </c>
      <c r="W49" s="10" t="n">
        <f aca="false">W47*Inputs!$B$25</f>
        <v>1.3855583347322E-014</v>
      </c>
      <c r="X49" s="10" t="n">
        <f aca="false">X47*Inputs!$B$25</f>
        <v>1.47561962648979E-014</v>
      </c>
      <c r="Y49" s="10" t="n">
        <f aca="false">Y47*Inputs!$B$25</f>
        <v>1.57153490221162E-014</v>
      </c>
      <c r="Z49" s="10" t="n">
        <f aca="false">Z47*Inputs!$B$25</f>
        <v>1.67368467085538E-014</v>
      </c>
      <c r="AA49" s="10" t="n">
        <f aca="false">AA47*Inputs!$B$25</f>
        <v>1.78247417446098E-014</v>
      </c>
      <c r="AB49" s="10" t="n">
        <f aca="false">AB47*Inputs!$B$25</f>
        <v>1.89833499580094E-014</v>
      </c>
      <c r="AC49" s="10" t="n">
        <f aca="false">AC47*Inputs!$B$25</f>
        <v>2.02172677052801E-014</v>
      </c>
    </row>
    <row r="50" customFormat="false" ht="15" hidden="false" customHeight="false" outlineLevel="0" collapsed="false">
      <c r="A50" s="4" t="s">
        <v>142</v>
      </c>
      <c r="B50" s="4" t="s">
        <v>3</v>
      </c>
      <c r="C50" s="10" t="n">
        <f aca="false">SUM(D50:AC50)</f>
        <v>136.991489625049</v>
      </c>
      <c r="D50" s="10" t="n">
        <f aca="false">0</f>
        <v>0</v>
      </c>
      <c r="E50" s="10" t="n">
        <f aca="false">E33-E49</f>
        <v>3.23764484103845</v>
      </c>
      <c r="F50" s="10" t="n">
        <f aca="false">F33-F49</f>
        <v>3.58480371320595</v>
      </c>
      <c r="G50" s="10" t="n">
        <f aca="false">G33-G49</f>
        <v>3.95613882648108</v>
      </c>
      <c r="H50" s="10" t="n">
        <f aca="false">H33-H49</f>
        <v>4.35323498681692</v>
      </c>
      <c r="I50" s="10" t="n">
        <f aca="false">I33-I49</f>
        <v>4.77777994516404</v>
      </c>
      <c r="J50" s="10" t="n">
        <f aca="false">J33-J49</f>
        <v>5.23157108123361</v>
      </c>
      <c r="K50" s="10" t="n">
        <f aca="false">K33-K49</f>
        <v>5.7165225214244</v>
      </c>
      <c r="L50" s="10" t="n">
        <f aca="false">L33-L49</f>
        <v>6.23467271912604</v>
      </c>
      <c r="M50" s="10" t="n">
        <f aca="false">M33-M49</f>
        <v>6.78819252744463</v>
      </c>
      <c r="N50" s="10" t="n">
        <f aca="false">N33-N49</f>
        <v>7.37939379634904</v>
      </c>
      <c r="O50" s="10" t="n">
        <f aca="false">O33-O49</f>
        <v>8.01073852831647</v>
      </c>
      <c r="P50" s="10" t="n">
        <f aca="false">P33-P49</f>
        <v>8.68484862877024</v>
      </c>
      <c r="Q50" s="10" t="n">
        <f aca="false">Q33-Q49</f>
        <v>9.40451628996184</v>
      </c>
      <c r="R50" s="10" t="n">
        <f aca="false">R33-R49</f>
        <v>10.1727150494613</v>
      </c>
      <c r="S50" s="10" t="n">
        <f aca="false">S33-S49</f>
        <v>10.9926115670956</v>
      </c>
      <c r="T50" s="10" t="n">
        <f aca="false">T33-T49</f>
        <v>11.8675781670228</v>
      </c>
      <c r="U50" s="10" t="n">
        <f aca="false">U33-U49</f>
        <v>12.8012061946675</v>
      </c>
      <c r="V50" s="10" t="n">
        <f aca="false">V33-V49</f>
        <v>13.7973202414694</v>
      </c>
      <c r="W50" s="10" t="n">
        <f aca="false">W33-W49</f>
        <v>-1.3855583347322E-014</v>
      </c>
      <c r="X50" s="10" t="n">
        <f aca="false">X33-X49</f>
        <v>-1.47561962648979E-014</v>
      </c>
      <c r="Y50" s="10" t="n">
        <f aca="false">Y33-Y49</f>
        <v>-1.57153490221162E-014</v>
      </c>
      <c r="Z50" s="10" t="n">
        <f aca="false">Z33-Z49</f>
        <v>-1.67368467085538E-014</v>
      </c>
      <c r="AA50" s="10" t="n">
        <f aca="false">AA33-AA49</f>
        <v>-1.78247417446098E-014</v>
      </c>
      <c r="AB50" s="10" t="n">
        <f aca="false">AB33-AB49</f>
        <v>-1.89833499580094E-014</v>
      </c>
      <c r="AC50" s="10" t="n">
        <f aca="false">AC33-AC49</f>
        <v>-2.02172677052801E-014</v>
      </c>
    </row>
    <row r="51" customFormat="false" ht="15" hidden="false" customHeight="false" outlineLevel="0" collapsed="false">
      <c r="A51" s="21" t="s">
        <v>143</v>
      </c>
      <c r="B51" s="4" t="s">
        <v>3</v>
      </c>
      <c r="C51" s="15"/>
      <c r="D51" s="40" t="n">
        <f aca="false">D47+D48-D50</f>
        <v>136.99148962505</v>
      </c>
      <c r="E51" s="13" t="n">
        <f aca="false">E47+E48-E50</f>
        <v>133.753844784011</v>
      </c>
      <c r="F51" s="13" t="n">
        <f aca="false">F47+F48-F50</f>
        <v>130.169041070805</v>
      </c>
      <c r="G51" s="13" t="n">
        <f aca="false">G47+G48-G50</f>
        <v>126.212902244324</v>
      </c>
      <c r="H51" s="13" t="n">
        <f aca="false">H47+H48-H50</f>
        <v>121.859667257507</v>
      </c>
      <c r="I51" s="13" t="n">
        <f aca="false">I47+I48-I50</f>
        <v>117.081887312343</v>
      </c>
      <c r="J51" s="13" t="n">
        <f aca="false">J47+J48-J50</f>
        <v>111.850316231109</v>
      </c>
      <c r="K51" s="13" t="n">
        <f aca="false">K47+K48-K50</f>
        <v>106.133793709685</v>
      </c>
      <c r="L51" s="13" t="n">
        <f aca="false">L47+L48-L50</f>
        <v>99.8991209905591</v>
      </c>
      <c r="M51" s="13" t="n">
        <f aca="false">M47+M48-M50</f>
        <v>93.1109284631144</v>
      </c>
      <c r="N51" s="13" t="n">
        <f aca="false">N47+N48-N50</f>
        <v>85.7315346667654</v>
      </c>
      <c r="O51" s="13" t="n">
        <f aca="false">O47+O48-O50</f>
        <v>77.7207961384489</v>
      </c>
      <c r="P51" s="13" t="n">
        <f aca="false">P47+P48-P50</f>
        <v>69.0359475096787</v>
      </c>
      <c r="Q51" s="13" t="n">
        <f aca="false">Q47+Q48-Q50</f>
        <v>59.6314312197168</v>
      </c>
      <c r="R51" s="13" t="n">
        <f aca="false">R47+R48-R50</f>
        <v>49.4587161702555</v>
      </c>
      <c r="S51" s="13" t="n">
        <f aca="false">S47+S48-S50</f>
        <v>38.46610460316</v>
      </c>
      <c r="T51" s="13" t="n">
        <f aca="false">T47+T48-T50</f>
        <v>26.5985264361371</v>
      </c>
      <c r="U51" s="13" t="n">
        <f aca="false">U47+U48-U50</f>
        <v>13.7973202414696</v>
      </c>
      <c r="V51" s="13" t="n">
        <f aca="false">V47+V48-V50</f>
        <v>2.1316282072803E-013</v>
      </c>
      <c r="W51" s="13" t="n">
        <f aca="false">W47+W48-W50</f>
        <v>2.27018404075352E-013</v>
      </c>
      <c r="X51" s="13" t="n">
        <f aca="false">X47+X48-X50</f>
        <v>2.4177460034025E-013</v>
      </c>
      <c r="Y51" s="13" t="n">
        <f aca="false">Y47+Y48-Y50</f>
        <v>2.57489949362366E-013</v>
      </c>
      <c r="Z51" s="13" t="n">
        <f aca="false">Z47+Z48-Z50</f>
        <v>2.7422679607092E-013</v>
      </c>
      <c r="AA51" s="13" t="n">
        <f aca="false">AA47+AA48-AA50</f>
        <v>2.9205153781553E-013</v>
      </c>
      <c r="AB51" s="13" t="n">
        <f aca="false">AB47+AB48-AB50</f>
        <v>3.11034887773539E-013</v>
      </c>
      <c r="AC51" s="13" t="n">
        <f aca="false">AC47+AC48-AC50</f>
        <v>3.31252155478819E-013</v>
      </c>
    </row>
    <row r="52" customFormat="false" ht="15" hidden="false" customHeight="false" outlineLevel="0" collapsed="false">
      <c r="A52" s="4" t="s">
        <v>144</v>
      </c>
      <c r="B52" s="4" t="s">
        <v>83</v>
      </c>
      <c r="E52" s="17" t="n">
        <f aca="false">IF(E33&gt;0.0001,E21/E33,"")</f>
        <v>1.33797869806891</v>
      </c>
      <c r="F52" s="17" t="n">
        <f aca="false">IF(F33&gt;0.0001,F21/F33,"")</f>
        <v>1.33847543840945</v>
      </c>
      <c r="G52" s="17" t="n">
        <f aca="false">IF(G33&gt;0.0001,G21/G33,"")</f>
        <v>1.33897316540971</v>
      </c>
      <c r="H52" s="17" t="n">
        <f aca="false">IF(H33&gt;0.0001,H21/H33,"")</f>
        <v>1.33947194796823</v>
      </c>
      <c r="I52" s="17" t="n">
        <f aca="false">IF(I33&gt;0.0001,I21/I33,"")</f>
        <v>1.33997185630391</v>
      </c>
      <c r="J52" s="17" t="n">
        <f aca="false">IF(J33&gt;0.0001,J21/J33,"")</f>
        <v>1.34047296197633</v>
      </c>
      <c r="K52" s="17" t="n">
        <f aca="false">IF(K33&gt;0.0001,K21/K33,"")</f>
        <v>1.34097533790705</v>
      </c>
      <c r="L52" s="17" t="n">
        <f aca="false">IF(L33&gt;0.0001,L21/L33,"")</f>
        <v>1.34147905840203</v>
      </c>
      <c r="M52" s="17" t="n">
        <f aca="false">IF(M33&gt;0.0001,M21/M33,"")</f>
        <v>1.34198419917501</v>
      </c>
      <c r="N52" s="17" t="n">
        <f aca="false">IF(N33&gt;0.0001,N21/N33,"")</f>
        <v>1.3424908373722</v>
      </c>
      <c r="O52" s="17" t="n">
        <f aca="false">IF(O33&gt;0.0001,O21/O33,"")</f>
        <v>1.34299905159798</v>
      </c>
      <c r="P52" s="17" t="n">
        <f aca="false">IF(P33&gt;0.0001,P21/P33,"")</f>
        <v>1.34350892194189</v>
      </c>
      <c r="Q52" s="17" t="n">
        <f aca="false">IF(Q33&gt;0.0001,Q21/Q33,"")</f>
        <v>1.34402053000686</v>
      </c>
      <c r="R52" s="17" t="n">
        <f aca="false">IF(R33&gt;0.0001,R21/R33,"")</f>
        <v>1.3445339589387</v>
      </c>
      <c r="S52" s="17" t="n">
        <f aca="false">IF(S33&gt;0.0001,S21/S33,"")</f>
        <v>1.34504929345695</v>
      </c>
      <c r="T52" s="17" t="n">
        <f aca="false">IF(T33&gt;0.0001,T21/T33,"")</f>
        <v>1.34556661988711</v>
      </c>
      <c r="U52" s="17" t="n">
        <f aca="false">IF(U33&gt;0.0001,U21/U33,"")</f>
        <v>1.3460860261943</v>
      </c>
      <c r="V52" s="17" t="n">
        <f aca="false">IF(V33&gt;0.0001,V21/V33,"")</f>
        <v>1.3466076020184</v>
      </c>
      <c r="W52" s="17" t="str">
        <f aca="false">IF(W33&gt;0.0001,W21/W33,"")</f>
        <v/>
      </c>
      <c r="X52" s="17" t="str">
        <f aca="false">IF(X33&gt;0.0001,X21/X33,"")</f>
        <v/>
      </c>
      <c r="Y52" s="17" t="str">
        <f aca="false">IF(Y33&gt;0.0001,Y21/Y33,"")</f>
        <v/>
      </c>
      <c r="Z52" s="17" t="str">
        <f aca="false">IF(Z33&gt;0.0001,Z21/Z33,"")</f>
        <v/>
      </c>
      <c r="AA52" s="17" t="str">
        <f aca="false">IF(AA33&gt;0.0001,AA21/AA33,"")</f>
        <v/>
      </c>
      <c r="AB52" s="17" t="str">
        <f aca="false">IF(AB33&gt;0.0001,AB21/AB33,"")</f>
        <v/>
      </c>
      <c r="AC52" s="17" t="str">
        <f aca="false">IF(AC33&gt;0.0001,AC21/AC33,"")</f>
        <v/>
      </c>
    </row>
    <row r="53" customFormat="false" ht="15" hidden="false" customHeight="false" outlineLevel="0" collapsed="false">
      <c r="A53" s="4" t="s">
        <v>145</v>
      </c>
      <c r="B53" s="4" t="s">
        <v>83</v>
      </c>
      <c r="E53" s="17" t="n">
        <f aca="false">IF(E33&gt;0.0001,E22/E33,"")</f>
        <v>1.2</v>
      </c>
      <c r="F53" s="17" t="n">
        <f aca="false">IF(F33&gt;0.0001,F22/F33,"")</f>
        <v>1.2</v>
      </c>
      <c r="G53" s="17" t="n">
        <f aca="false">IF(G33&gt;0.0001,G22/G33,"")</f>
        <v>1.2</v>
      </c>
      <c r="H53" s="17" t="n">
        <f aca="false">IF(H33&gt;0.0001,H22/H33,"")</f>
        <v>1.2</v>
      </c>
      <c r="I53" s="17" t="n">
        <f aca="false">IF(I33&gt;0.0001,I22/I33,"")</f>
        <v>1.2</v>
      </c>
      <c r="J53" s="17" t="n">
        <f aca="false">IF(J33&gt;0.0001,J22/J33,"")</f>
        <v>1.2</v>
      </c>
      <c r="K53" s="17" t="n">
        <f aca="false">IF(K33&gt;0.0001,K22/K33,"")</f>
        <v>1.2</v>
      </c>
      <c r="L53" s="17" t="n">
        <f aca="false">IF(L33&gt;0.0001,L22/L33,"")</f>
        <v>1.2</v>
      </c>
      <c r="M53" s="17" t="n">
        <f aca="false">IF(M33&gt;0.0001,M22/M33,"")</f>
        <v>1.2</v>
      </c>
      <c r="N53" s="17" t="n">
        <f aca="false">IF(N33&gt;0.0001,N22/N33,"")</f>
        <v>1.2</v>
      </c>
      <c r="O53" s="17" t="n">
        <f aca="false">IF(O33&gt;0.0001,O22/O33,"")</f>
        <v>1.2</v>
      </c>
      <c r="P53" s="17" t="n">
        <f aca="false">IF(P33&gt;0.0001,P22/P33,"")</f>
        <v>1.2</v>
      </c>
      <c r="Q53" s="17" t="n">
        <f aca="false">IF(Q33&gt;0.0001,Q22/Q33,"")</f>
        <v>1.2</v>
      </c>
      <c r="R53" s="17" t="n">
        <f aca="false">IF(R33&gt;0.0001,R22/R33,"")</f>
        <v>1.2</v>
      </c>
      <c r="S53" s="17" t="n">
        <f aca="false">IF(S33&gt;0.0001,S22/S33,"")</f>
        <v>1.2</v>
      </c>
      <c r="T53" s="17" t="n">
        <f aca="false">IF(T33&gt;0.0001,T22/T33,"")</f>
        <v>1.2</v>
      </c>
      <c r="U53" s="17" t="n">
        <f aca="false">IF(U33&gt;0.0001,U22/U33,"")</f>
        <v>1.2</v>
      </c>
      <c r="V53" s="17" t="n">
        <f aca="false">IF(V33&gt;0.0001,V22/V33,"")</f>
        <v>1.2</v>
      </c>
      <c r="W53" s="17" t="str">
        <f aca="false">IF(W33&gt;0.0001,W22/W33,"")</f>
        <v/>
      </c>
      <c r="X53" s="17" t="str">
        <f aca="false">IF(X33&gt;0.0001,X22/X33,"")</f>
        <v/>
      </c>
      <c r="Y53" s="17" t="str">
        <f aca="false">IF(Y33&gt;0.0001,Y22/Y33,"")</f>
        <v/>
      </c>
      <c r="Z53" s="17" t="str">
        <f aca="false">IF(Z33&gt;0.0001,Z22/Z33,"")</f>
        <v/>
      </c>
      <c r="AA53" s="17" t="str">
        <f aca="false">IF(AA33&gt;0.0001,AA22/AA33,"")</f>
        <v/>
      </c>
      <c r="AB53" s="17" t="str">
        <f aca="false">IF(AB33&gt;0.0001,AB22/AB33,"")</f>
        <v/>
      </c>
      <c r="AC53" s="17" t="str">
        <f aca="false">IF(AC33&gt;0.0001,AC22/AC33,"")</f>
        <v/>
      </c>
    </row>
    <row r="55" customFormat="false" ht="15" hidden="false" customHeight="false" outlineLevel="0" collapsed="false">
      <c r="A55" s="23" t="s">
        <v>146</v>
      </c>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row>
    <row r="56" customFormat="false" ht="15" hidden="false" customHeight="false" outlineLevel="0" collapsed="false">
      <c r="A56" s="4" t="s">
        <v>139</v>
      </c>
      <c r="B56" s="4" t="s">
        <v>3</v>
      </c>
      <c r="D56" s="10" t="n">
        <f aca="false">0</f>
        <v>0</v>
      </c>
      <c r="E56" s="10" t="n">
        <f aca="false">D60</f>
        <v>11.7585103749505</v>
      </c>
      <c r="F56" s="10" t="n">
        <f aca="false">E60</f>
        <v>11.5967190927398</v>
      </c>
      <c r="G56" s="10" t="n">
        <f aca="false">F60</f>
        <v>11.4036877105265</v>
      </c>
      <c r="H56" s="10" t="n">
        <f aca="false">G60</f>
        <v>11.1761147507571</v>
      </c>
      <c r="I56" s="10" t="n">
        <f aca="false">H60</f>
        <v>10.9103671173796</v>
      </c>
      <c r="J56" s="10" t="n">
        <f aca="false">I60</f>
        <v>10.6024469414173</v>
      </c>
      <c r="K56" s="10" t="n">
        <f aca="false">J60</f>
        <v>10.2479551119447</v>
      </c>
      <c r="L56" s="10" t="n">
        <f aca="false">K60</f>
        <v>9.84205116103533</v>
      </c>
      <c r="M56" s="10" t="n">
        <f aca="false">L60</f>
        <v>9.37940913811174</v>
      </c>
      <c r="N56" s="10" t="n">
        <f aca="false">M60</f>
        <v>8.85416907266984</v>
      </c>
      <c r="O56" s="10" t="n">
        <f aca="false">N60</f>
        <v>8.259883584249</v>
      </c>
      <c r="P56" s="10" t="n">
        <f aca="false">O60</f>
        <v>7.58945915440726</v>
      </c>
      <c r="Q56" s="10" t="n">
        <f aca="false">P60</f>
        <v>6.83509152693798</v>
      </c>
      <c r="R56" s="10" t="n">
        <f aca="false">Q60</f>
        <v>5.98819464918866</v>
      </c>
      <c r="S56" s="10" t="n">
        <f aca="false">R60</f>
        <v>5.03932250863041</v>
      </c>
      <c r="T56" s="10" t="n">
        <f aca="false">S60</f>
        <v>3.97808315424173</v>
      </c>
      <c r="U56" s="10" t="n">
        <f aca="false">T60</f>
        <v>2.79304412122853</v>
      </c>
      <c r="V56" s="10" t="n">
        <f aca="false">U60</f>
        <v>1.47162839945515</v>
      </c>
      <c r="W56" s="10" t="n">
        <f aca="false">V60</f>
        <v>-3.86357612569555E-014</v>
      </c>
      <c r="X56" s="10" t="n">
        <f aca="false">W60</f>
        <v>-4.2499337382651E-014</v>
      </c>
      <c r="Y56" s="10" t="n">
        <f aca="false">X60</f>
        <v>-4.67492711209161E-014</v>
      </c>
      <c r="Z56" s="10" t="n">
        <f aca="false">Y60</f>
        <v>-5.14241982330077E-014</v>
      </c>
      <c r="AA56" s="10" t="n">
        <f aca="false">Z60</f>
        <v>-5.65666180563085E-014</v>
      </c>
      <c r="AB56" s="10" t="n">
        <f aca="false">AA60</f>
        <v>-6.22232798619393E-014</v>
      </c>
      <c r="AC56" s="10" t="n">
        <f aca="false">AB60</f>
        <v>-6.84456078481333E-014</v>
      </c>
    </row>
    <row r="57" customFormat="false" ht="15" hidden="false" customHeight="false" outlineLevel="0" collapsed="false">
      <c r="A57" s="4" t="s">
        <v>140</v>
      </c>
      <c r="B57" s="4" t="s">
        <v>3</v>
      </c>
      <c r="C57" s="10" t="n">
        <f aca="false">SUM(D57:AC57)</f>
        <v>11.7585103749505</v>
      </c>
      <c r="D57" s="10" t="n">
        <f aca="false">C41</f>
        <v>11.7585103749505</v>
      </c>
      <c r="E57" s="10" t="n">
        <f aca="false">0</f>
        <v>0</v>
      </c>
      <c r="F57" s="10" t="n">
        <f aca="false">0</f>
        <v>0</v>
      </c>
      <c r="G57" s="10" t="n">
        <f aca="false">0</f>
        <v>0</v>
      </c>
      <c r="H57" s="10" t="n">
        <f aca="false">0</f>
        <v>0</v>
      </c>
      <c r="I57" s="10" t="n">
        <f aca="false">0</f>
        <v>0</v>
      </c>
      <c r="J57" s="10" t="n">
        <f aca="false">0</f>
        <v>0</v>
      </c>
      <c r="K57" s="10" t="n">
        <f aca="false">0</f>
        <v>0</v>
      </c>
      <c r="L57" s="10" t="n">
        <f aca="false">0</f>
        <v>0</v>
      </c>
      <c r="M57" s="10" t="n">
        <f aca="false">0</f>
        <v>0</v>
      </c>
      <c r="N57" s="10" t="n">
        <f aca="false">0</f>
        <v>0</v>
      </c>
      <c r="O57" s="10" t="n">
        <f aca="false">0</f>
        <v>0</v>
      </c>
      <c r="P57" s="10" t="n">
        <f aca="false">0</f>
        <v>0</v>
      </c>
      <c r="Q57" s="10" t="n">
        <f aca="false">0</f>
        <v>0</v>
      </c>
      <c r="R57" s="10" t="n">
        <f aca="false">0</f>
        <v>0</v>
      </c>
      <c r="S57" s="10" t="n">
        <f aca="false">0</f>
        <v>0</v>
      </c>
      <c r="T57" s="10" t="n">
        <f aca="false">0</f>
        <v>0</v>
      </c>
      <c r="U57" s="10" t="n">
        <f aca="false">0</f>
        <v>0</v>
      </c>
      <c r="V57" s="10" t="n">
        <f aca="false">0</f>
        <v>0</v>
      </c>
      <c r="W57" s="10" t="n">
        <f aca="false">0</f>
        <v>0</v>
      </c>
      <c r="X57" s="10" t="n">
        <f aca="false">0</f>
        <v>0</v>
      </c>
      <c r="Y57" s="10" t="n">
        <f aca="false">0</f>
        <v>0</v>
      </c>
      <c r="Z57" s="10" t="n">
        <f aca="false">0</f>
        <v>0</v>
      </c>
      <c r="AA57" s="10" t="n">
        <f aca="false">0</f>
        <v>0</v>
      </c>
      <c r="AB57" s="10" t="n">
        <f aca="false">0</f>
        <v>0</v>
      </c>
      <c r="AC57" s="10" t="n">
        <f aca="false">0</f>
        <v>0</v>
      </c>
    </row>
    <row r="58" customFormat="false" ht="15" hidden="false" customHeight="false" outlineLevel="0" collapsed="false">
      <c r="A58" s="4" t="s">
        <v>141</v>
      </c>
      <c r="B58" s="4" t="s">
        <v>3</v>
      </c>
      <c r="C58" s="10" t="n">
        <f aca="false">SUM(D58:AC58)</f>
        <v>14.7726137569871</v>
      </c>
      <c r="D58" s="10" t="n">
        <f aca="false">0</f>
        <v>0</v>
      </c>
      <c r="E58" s="10" t="n">
        <f aca="false">E56*Inputs!$B$31</f>
        <v>1.17585103749505</v>
      </c>
      <c r="F58" s="10" t="n">
        <f aca="false">F56*Inputs!$B$31</f>
        <v>1.15967190927398</v>
      </c>
      <c r="G58" s="10" t="n">
        <f aca="false">G56*Inputs!$B$31</f>
        <v>1.14036877105265</v>
      </c>
      <c r="H58" s="10" t="n">
        <f aca="false">H56*Inputs!$B$31</f>
        <v>1.11761147507571</v>
      </c>
      <c r="I58" s="10" t="n">
        <f aca="false">I56*Inputs!$B$31</f>
        <v>1.09103671173796</v>
      </c>
      <c r="J58" s="10" t="n">
        <f aca="false">J56*Inputs!$B$31</f>
        <v>1.06024469414173</v>
      </c>
      <c r="K58" s="10" t="n">
        <f aca="false">K56*Inputs!$B$31</f>
        <v>1.02479551119447</v>
      </c>
      <c r="L58" s="10" t="n">
        <f aca="false">L56*Inputs!$B$31</f>
        <v>0.984205116103533</v>
      </c>
      <c r="M58" s="10" t="n">
        <f aca="false">M56*Inputs!$B$31</f>
        <v>0.937940913811174</v>
      </c>
      <c r="N58" s="10" t="n">
        <f aca="false">N56*Inputs!$B$31</f>
        <v>0.885416907266984</v>
      </c>
      <c r="O58" s="10" t="n">
        <f aca="false">O56*Inputs!$B$31</f>
        <v>0.8259883584249</v>
      </c>
      <c r="P58" s="10" t="n">
        <f aca="false">P56*Inputs!$B$31</f>
        <v>0.758945915440727</v>
      </c>
      <c r="Q58" s="10" t="n">
        <f aca="false">Q56*Inputs!$B$31</f>
        <v>0.683509152693798</v>
      </c>
      <c r="R58" s="10" t="n">
        <f aca="false">R56*Inputs!$B$31</f>
        <v>0.598819464918866</v>
      </c>
      <c r="S58" s="10" t="n">
        <f aca="false">S56*Inputs!$B$31</f>
        <v>0.503932250863041</v>
      </c>
      <c r="T58" s="10" t="n">
        <f aca="false">T56*Inputs!$B$31</f>
        <v>0.397808315424173</v>
      </c>
      <c r="U58" s="10" t="n">
        <f aca="false">U56*Inputs!$B$31</f>
        <v>0.279304412122853</v>
      </c>
      <c r="V58" s="10" t="n">
        <f aca="false">V56*Inputs!$B$31</f>
        <v>0.147162839945515</v>
      </c>
      <c r="W58" s="10" t="n">
        <f aca="false">W56*Inputs!$B$31</f>
        <v>-3.86357612569555E-015</v>
      </c>
      <c r="X58" s="10" t="n">
        <f aca="false">X56*Inputs!$B$31</f>
        <v>-4.2499337382651E-015</v>
      </c>
      <c r="Y58" s="10" t="n">
        <f aca="false">Y56*Inputs!$B$31</f>
        <v>-4.67492711209161E-015</v>
      </c>
      <c r="Z58" s="10" t="n">
        <f aca="false">Z56*Inputs!$B$31</f>
        <v>-5.14241982330077E-015</v>
      </c>
      <c r="AA58" s="10" t="n">
        <f aca="false">AA56*Inputs!$B$31</f>
        <v>-5.65666180563085E-015</v>
      </c>
      <c r="AB58" s="10" t="n">
        <f aca="false">AB56*Inputs!$B$31</f>
        <v>-6.22232798619393E-015</v>
      </c>
      <c r="AC58" s="10" t="n">
        <f aca="false">AC56*Inputs!$B$31</f>
        <v>-6.84456078481333E-015</v>
      </c>
    </row>
    <row r="59" customFormat="false" ht="15" hidden="false" customHeight="false" outlineLevel="0" collapsed="false">
      <c r="A59" s="4" t="s">
        <v>142</v>
      </c>
      <c r="B59" s="4" t="s">
        <v>3</v>
      </c>
      <c r="C59" s="10" t="n">
        <f aca="false">SUM(D59:AC59)</f>
        <v>11.7585103749506</v>
      </c>
      <c r="D59" s="10" t="n">
        <f aca="false">0</f>
        <v>0</v>
      </c>
      <c r="E59" s="10" t="n">
        <f aca="false">E44-E58</f>
        <v>0.16179128221064</v>
      </c>
      <c r="F59" s="10" t="n">
        <f aca="false">F44-F58</f>
        <v>0.193031382213348</v>
      </c>
      <c r="G59" s="10" t="n">
        <f aca="false">G44-G58</f>
        <v>0.227572959769399</v>
      </c>
      <c r="H59" s="10" t="n">
        <f aca="false">H44-H58</f>
        <v>0.265747633377509</v>
      </c>
      <c r="I59" s="10" t="n">
        <f aca="false">I44-I58</f>
        <v>0.307920175962256</v>
      </c>
      <c r="J59" s="10" t="n">
        <f aca="false">J44-J58</f>
        <v>0.354491829472611</v>
      </c>
      <c r="K59" s="10" t="n">
        <f aca="false">K44-K58</f>
        <v>0.405903950909381</v>
      </c>
      <c r="L59" s="10" t="n">
        <f aca="false">L44-L58</f>
        <v>0.462642022923591</v>
      </c>
      <c r="M59" s="10" t="n">
        <f aca="false">M44-M58</f>
        <v>0.525240065441901</v>
      </c>
      <c r="N59" s="10" t="n">
        <f aca="false">N44-N58</f>
        <v>0.594285488420844</v>
      </c>
      <c r="O59" s="10" t="n">
        <f aca="false">O44-O58</f>
        <v>0.670424429841732</v>
      </c>
      <c r="P59" s="10" t="n">
        <f aca="false">P44-P58</f>
        <v>0.754367627469288</v>
      </c>
      <c r="Q59" s="10" t="n">
        <f aca="false">Q44-Q58</f>
        <v>0.846896877749313</v>
      </c>
      <c r="R59" s="10" t="n">
        <f aca="false">R44-R58</f>
        <v>0.948872140558254</v>
      </c>
      <c r="S59" s="10" t="n">
        <f aca="false">S44-S58</f>
        <v>1.06123935438868</v>
      </c>
      <c r="T59" s="10" t="n">
        <f aca="false">T44-T58</f>
        <v>1.18503903301319</v>
      </c>
      <c r="U59" s="10" t="n">
        <f aca="false">U44-U58</f>
        <v>1.32141572177338</v>
      </c>
      <c r="V59" s="10" t="n">
        <f aca="false">V44-V58</f>
        <v>1.47162839945519</v>
      </c>
      <c r="W59" s="10" t="n">
        <f aca="false">W44-W58</f>
        <v>3.86357612569555E-015</v>
      </c>
      <c r="X59" s="10" t="n">
        <f aca="false">X44-X58</f>
        <v>4.2499337382651E-015</v>
      </c>
      <c r="Y59" s="10" t="n">
        <f aca="false">Y44-Y58</f>
        <v>4.67492711209161E-015</v>
      </c>
      <c r="Z59" s="10" t="n">
        <f aca="false">Z44-Z58</f>
        <v>5.14241982330077E-015</v>
      </c>
      <c r="AA59" s="10" t="n">
        <f aca="false">AA44-AA58</f>
        <v>5.65666180563085E-015</v>
      </c>
      <c r="AB59" s="10" t="n">
        <f aca="false">AB44-AB58</f>
        <v>6.22232798619393E-015</v>
      </c>
      <c r="AC59" s="10" t="n">
        <f aca="false">AC44-AC58</f>
        <v>6.84456078481333E-015</v>
      </c>
    </row>
    <row r="60" customFormat="false" ht="15" hidden="false" customHeight="false" outlineLevel="0" collapsed="false">
      <c r="A60" s="21" t="s">
        <v>143</v>
      </c>
      <c r="B60" s="4" t="s">
        <v>3</v>
      </c>
      <c r="C60" s="15"/>
      <c r="D60" s="40" t="n">
        <f aca="false">D56+D57-D59</f>
        <v>11.7585103749505</v>
      </c>
      <c r="E60" s="13" t="n">
        <f aca="false">E56+E57-E59</f>
        <v>11.5967190927398</v>
      </c>
      <c r="F60" s="13" t="n">
        <f aca="false">F56+F57-F59</f>
        <v>11.4036877105265</v>
      </c>
      <c r="G60" s="13" t="n">
        <f aca="false">G56+G57-G59</f>
        <v>11.1761147507571</v>
      </c>
      <c r="H60" s="13" t="n">
        <f aca="false">H56+H57-H59</f>
        <v>10.9103671173796</v>
      </c>
      <c r="I60" s="13" t="n">
        <f aca="false">I56+I57-I59</f>
        <v>10.6024469414173</v>
      </c>
      <c r="J60" s="13" t="n">
        <f aca="false">J56+J57-J59</f>
        <v>10.2479551119447</v>
      </c>
      <c r="K60" s="13" t="n">
        <f aca="false">K56+K57-K59</f>
        <v>9.84205116103533</v>
      </c>
      <c r="L60" s="13" t="n">
        <f aca="false">L56+L57-L59</f>
        <v>9.37940913811174</v>
      </c>
      <c r="M60" s="13" t="n">
        <f aca="false">M56+M57-M59</f>
        <v>8.85416907266984</v>
      </c>
      <c r="N60" s="13" t="n">
        <f aca="false">N56+N57-N59</f>
        <v>8.259883584249</v>
      </c>
      <c r="O60" s="13" t="n">
        <f aca="false">O56+O57-O59</f>
        <v>7.58945915440726</v>
      </c>
      <c r="P60" s="13" t="n">
        <f aca="false">P56+P57-P59</f>
        <v>6.83509152693798</v>
      </c>
      <c r="Q60" s="13" t="n">
        <f aca="false">Q56+Q57-Q59</f>
        <v>5.98819464918866</v>
      </c>
      <c r="R60" s="13" t="n">
        <f aca="false">R56+R57-R59</f>
        <v>5.03932250863041</v>
      </c>
      <c r="S60" s="13" t="n">
        <f aca="false">S56+S57-S59</f>
        <v>3.97808315424173</v>
      </c>
      <c r="T60" s="13" t="n">
        <f aca="false">T56+T57-T59</f>
        <v>2.79304412122853</v>
      </c>
      <c r="U60" s="13" t="n">
        <f aca="false">U56+U57-U59</f>
        <v>1.47162839945515</v>
      </c>
      <c r="V60" s="13" t="n">
        <f aca="false">V56+V57-V59</f>
        <v>-3.86357612569555E-014</v>
      </c>
      <c r="W60" s="13" t="n">
        <f aca="false">W56+W57-W59</f>
        <v>-4.2499337382651E-014</v>
      </c>
      <c r="X60" s="13" t="n">
        <f aca="false">X56+X57-X59</f>
        <v>-4.67492711209161E-014</v>
      </c>
      <c r="Y60" s="13" t="n">
        <f aca="false">Y56+Y57-Y59</f>
        <v>-5.14241982330077E-014</v>
      </c>
      <c r="Z60" s="13" t="n">
        <f aca="false">Z56+Z57-Z59</f>
        <v>-5.65666180563085E-014</v>
      </c>
      <c r="AA60" s="13" t="n">
        <f aca="false">AA56+AA57-AA59</f>
        <v>-6.22232798619393E-014</v>
      </c>
      <c r="AB60" s="13" t="n">
        <f aca="false">AB56+AB57-AB59</f>
        <v>-6.84456078481333E-014</v>
      </c>
      <c r="AC60" s="13" t="n">
        <f aca="false">AC56+AC57-AC59</f>
        <v>-7.52901686329466E-014</v>
      </c>
    </row>
    <row r="61" customFormat="false" ht="15" hidden="false" customHeight="false" outlineLevel="0" collapsed="false">
      <c r="A61" s="4" t="s">
        <v>147</v>
      </c>
      <c r="B61" s="4" t="s">
        <v>83</v>
      </c>
      <c r="E61" s="17" t="n">
        <f aca="false">IF(E33+E44&gt;0.0001,E21/(E33+E44),"")</f>
        <v>1.20520627606035</v>
      </c>
      <c r="F61" s="17" t="n">
        <f aca="false">IF(F33+F44&gt;0.0001,F21/(F33+F44),"")</f>
        <v>1.2056537230764</v>
      </c>
      <c r="G61" s="17" t="n">
        <f aca="false">IF(G33+G44&gt;0.0001,G21/(G33+G44),"")</f>
        <v>1.2061020588424</v>
      </c>
      <c r="H61" s="17" t="n">
        <f aca="false">IF(H33+H44&gt;0.0001,H21/(H33+H44),"")</f>
        <v>1.20655134541982</v>
      </c>
      <c r="I61" s="17" t="n">
        <f aca="false">IF(I33+I44&gt;0.0001,I21/(I33+I44),"")</f>
        <v>1.20700164605949</v>
      </c>
      <c r="J61" s="17" t="n">
        <f aca="false">IF(J33+J44&gt;0.0001,J21/(J33+J44),"")</f>
        <v>1.20745302521989</v>
      </c>
      <c r="K61" s="17" t="n">
        <f aca="false">IF(K33+K44&gt;0.0001,K21/(K33+K44),"")</f>
        <v>1.20790554858632</v>
      </c>
      <c r="L61" s="17" t="n">
        <f aca="false">IF(L33+L44&gt;0.0001,L21/(L33+L44),"")</f>
        <v>1.20835928309106</v>
      </c>
      <c r="M61" s="17" t="n">
        <f aca="false">IF(M33+M44&gt;0.0001,M21/(M33+M44),"")</f>
        <v>1.20881429693453</v>
      </c>
      <c r="N61" s="17" t="n">
        <f aca="false">IF(N33+N44&gt;0.0001,N21/(N33+N44),"")</f>
        <v>1.20927065960744</v>
      </c>
      <c r="O61" s="17" t="n">
        <f aca="false">IF(O33+O44&gt;0.0001,O21/(O33+O44),"")</f>
        <v>1.20972844191397</v>
      </c>
      <c r="P61" s="17" t="n">
        <f aca="false">IF(P33+P44&gt;0.0001,P21/(P33+P44),"")</f>
        <v>1.2101877159961</v>
      </c>
      <c r="Q61" s="17" t="n">
        <f aca="false">IF(Q33+Q44&gt;0.0001,Q21/(Q33+Q44),"")</f>
        <v>1.21064855535899</v>
      </c>
      <c r="R61" s="17" t="n">
        <f aca="false">IF(R33+R44&gt;0.0001,R21/(R33+R44),"")</f>
        <v>1.21111103489761</v>
      </c>
      <c r="S61" s="17" t="n">
        <f aca="false">IF(S33+S44&gt;0.0001,S21/(S33+S44),"")</f>
        <v>1.21157523092447</v>
      </c>
      <c r="T61" s="17" t="n">
        <f aca="false">IF(T33+T44&gt;0.0001,T21/(T33+T44),"")</f>
        <v>1.21204122119868</v>
      </c>
      <c r="U61" s="17" t="n">
        <f aca="false">IF(U33+U44&gt;0.0001,U21/(U33+U44),"")</f>
        <v>1.21250908495627</v>
      </c>
      <c r="V61" s="17" t="n">
        <f aca="false">IF(V33+V44&gt;0.0001,V21/(V33+V44),"")</f>
        <v>1.21297890294182</v>
      </c>
      <c r="W61" s="17" t="str">
        <f aca="false">IF(W33+W44&gt;0.0001,W21/(W33+W44),"")</f>
        <v/>
      </c>
      <c r="X61" s="17" t="str">
        <f aca="false">IF(X33+X44&gt;0.0001,X21/(X33+X44),"")</f>
        <v/>
      </c>
      <c r="Y61" s="17" t="str">
        <f aca="false">IF(Y33+Y44&gt;0.0001,Y21/(Y33+Y44),"")</f>
        <v/>
      </c>
      <c r="Z61" s="17" t="str">
        <f aca="false">IF(Z33+Z44&gt;0.0001,Z21/(Z33+Z44),"")</f>
        <v/>
      </c>
      <c r="AA61" s="17" t="str">
        <f aca="false">IF(AA33+AA44&gt;0.0001,AA21/(AA33+AA44),"")</f>
        <v/>
      </c>
      <c r="AB61" s="17" t="str">
        <f aca="false">IF(AB33+AB44&gt;0.0001,AB21/(AB33+AB44),"")</f>
        <v/>
      </c>
      <c r="AC61" s="17" t="str">
        <f aca="false">IF(AC33+AC44&gt;0.0001,AC21/(AC33+AC44),"")</f>
        <v/>
      </c>
    </row>
    <row r="62" customFormat="false" ht="15" hidden="false" customHeight="false" outlineLevel="0" collapsed="false">
      <c r="A62" s="4" t="s">
        <v>148</v>
      </c>
      <c r="B62" s="4" t="s">
        <v>83</v>
      </c>
      <c r="E62" s="17" t="n">
        <f aca="false">IF(E33+E44&gt;0.0001,E22/(E33+E44),"")</f>
        <v>1.08091969876634</v>
      </c>
      <c r="F62" s="17" t="n">
        <f aca="false">IF(F33+F44&gt;0.0001,F22/(F33+F44),"")</f>
        <v>1.08091969876634</v>
      </c>
      <c r="G62" s="17" t="n">
        <f aca="false">IF(G33+G44&gt;0.0001,G22/(G33+G44),"")</f>
        <v>1.08091969876634</v>
      </c>
      <c r="H62" s="17" t="n">
        <f aca="false">IF(H33+H44&gt;0.0001,H22/(H33+H44),"")</f>
        <v>1.08091969876634</v>
      </c>
      <c r="I62" s="17" t="n">
        <f aca="false">IF(I33+I44&gt;0.0001,I22/(I33+I44),"")</f>
        <v>1.08091969876634</v>
      </c>
      <c r="J62" s="17" t="n">
        <f aca="false">IF(J33+J44&gt;0.0001,J22/(J33+J44),"")</f>
        <v>1.08091969876634</v>
      </c>
      <c r="K62" s="17" t="n">
        <f aca="false">IF(K33+K44&gt;0.0001,K22/(K33+K44),"")</f>
        <v>1.08091969876634</v>
      </c>
      <c r="L62" s="17" t="n">
        <f aca="false">IF(L33+L44&gt;0.0001,L22/(L33+L44),"")</f>
        <v>1.08091969876634</v>
      </c>
      <c r="M62" s="17" t="n">
        <f aca="false">IF(M33+M44&gt;0.0001,M22/(M33+M44),"")</f>
        <v>1.08091969876634</v>
      </c>
      <c r="N62" s="17" t="n">
        <f aca="false">IF(N33+N44&gt;0.0001,N22/(N33+N44),"")</f>
        <v>1.08091969876634</v>
      </c>
      <c r="O62" s="17" t="n">
        <f aca="false">IF(O33+O44&gt;0.0001,O22/(O33+O44),"")</f>
        <v>1.08091969876634</v>
      </c>
      <c r="P62" s="17" t="n">
        <f aca="false">IF(P33+P44&gt;0.0001,P22/(P33+P44),"")</f>
        <v>1.08091969876634</v>
      </c>
      <c r="Q62" s="17" t="n">
        <f aca="false">IF(Q33+Q44&gt;0.0001,Q22/(Q33+Q44),"")</f>
        <v>1.08091969876634</v>
      </c>
      <c r="R62" s="17" t="n">
        <f aca="false">IF(R33+R44&gt;0.0001,R22/(R33+R44),"")</f>
        <v>1.08091969876634</v>
      </c>
      <c r="S62" s="17" t="n">
        <f aca="false">IF(S33+S44&gt;0.0001,S22/(S33+S44),"")</f>
        <v>1.08091969876634</v>
      </c>
      <c r="T62" s="17" t="n">
        <f aca="false">IF(T33+T44&gt;0.0001,T22/(T33+T44),"")</f>
        <v>1.08091969876634</v>
      </c>
      <c r="U62" s="17" t="n">
        <f aca="false">IF(U33+U44&gt;0.0001,U22/(U33+U44),"")</f>
        <v>1.08091969876634</v>
      </c>
      <c r="V62" s="17" t="n">
        <f aca="false">IF(V33+V44&gt;0.0001,V22/(V33+V44),"")</f>
        <v>1.08091969876634</v>
      </c>
      <c r="W62" s="17" t="str">
        <f aca="false">IF(W33+W44&gt;0.0001,W22/(W33+W44),"")</f>
        <v/>
      </c>
      <c r="X62" s="17" t="str">
        <f aca="false">IF(X33+X44&gt;0.0001,X22/(X33+X44),"")</f>
        <v/>
      </c>
      <c r="Y62" s="17" t="str">
        <f aca="false">IF(Y33+Y44&gt;0.0001,Y22/(Y33+Y44),"")</f>
        <v/>
      </c>
      <c r="Z62" s="17" t="str">
        <f aca="false">IF(Z33+Z44&gt;0.0001,Z22/(Z33+Z44),"")</f>
        <v/>
      </c>
      <c r="AA62" s="17" t="str">
        <f aca="false">IF(AA33+AA44&gt;0.0001,AA22/(AA33+AA44),"")</f>
        <v/>
      </c>
      <c r="AB62" s="17" t="str">
        <f aca="false">IF(AB33+AB44&gt;0.0001,AB22/(AB33+AB44),"")</f>
        <v/>
      </c>
      <c r="AC62" s="17" t="str">
        <f aca="false">IF(AC33+AC44&gt;0.0001,AC22/(AC33+AC44),"")</f>
        <v/>
      </c>
    </row>
    <row r="64" customFormat="false" ht="15" hidden="false" customHeight="false" outlineLevel="0" collapsed="false">
      <c r="A64" s="23" t="s">
        <v>149</v>
      </c>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row>
    <row r="65" customFormat="false" ht="15" hidden="false" customHeight="false" outlineLevel="0" collapsed="false">
      <c r="A65" s="4" t="s">
        <v>150</v>
      </c>
      <c r="B65" s="4" t="s">
        <v>3</v>
      </c>
      <c r="C65" s="10" t="n">
        <f aca="false">SUM(D65:AC65)</f>
        <v>282.486994652848</v>
      </c>
      <c r="D65" s="10" t="n">
        <f aca="false">-Inputs!$B$19</f>
        <v>-175</v>
      </c>
      <c r="E65" s="10" t="n">
        <f aca="false">E21</f>
        <v>16.24586</v>
      </c>
      <c r="F65" s="10" t="n">
        <f aca="false">F21</f>
        <v>16.434877064</v>
      </c>
      <c r="G65" s="10" t="n">
        <f aca="false">G21</f>
        <v>16.6261991697536</v>
      </c>
      <c r="H65" s="10" t="n">
        <f aca="false">H21</f>
        <v>16.8198478795704</v>
      </c>
      <c r="I65" s="10" t="n">
        <f aca="false">I21</f>
        <v>17.0158447574682</v>
      </c>
      <c r="J65" s="10" t="n">
        <f aca="false">J21</f>
        <v>17.214211361209</v>
      </c>
      <c r="K65" s="10" t="n">
        <f aca="false">K21</f>
        <v>17.4149692340169</v>
      </c>
      <c r="L65" s="10" t="n">
        <f aca="false">L21</f>
        <v>17.6181398959677</v>
      </c>
      <c r="M65" s="10" t="n">
        <f aca="false">M21</f>
        <v>17.8237448350407</v>
      </c>
      <c r="N65" s="10" t="n">
        <f aca="false">N21</f>
        <v>18.0318054978215</v>
      </c>
      <c r="O65" s="10" t="n">
        <f aca="false">O21</f>
        <v>18.2423432798462</v>
      </c>
      <c r="P65" s="10" t="n">
        <f aca="false">P21</f>
        <v>18.4553795155757</v>
      </c>
      <c r="Q65" s="10" t="n">
        <f aca="false">Q21</f>
        <v>18.6709354679891</v>
      </c>
      <c r="R65" s="10" t="n">
        <f aca="false">R21</f>
        <v>18.8890323177843</v>
      </c>
      <c r="S65" s="10" t="n">
        <f aca="false">S21</f>
        <v>19.1096911521744</v>
      </c>
      <c r="T65" s="10" t="n">
        <f aca="false">T21</f>
        <v>19.3329329532683</v>
      </c>
      <c r="U65" s="10" t="n">
        <f aca="false">U21</f>
        <v>19.5587785860217</v>
      </c>
      <c r="V65" s="10" t="n">
        <f aca="false">V21</f>
        <v>19.7872487857469</v>
      </c>
      <c r="W65" s="10" t="n">
        <f aca="false">W21</f>
        <v>20.0183641451678</v>
      </c>
      <c r="X65" s="10" t="n">
        <f aca="false">X21</f>
        <v>20.2521451010069</v>
      </c>
      <c r="Y65" s="10" t="n">
        <f aca="false">Y21</f>
        <v>18.3011119200899</v>
      </c>
      <c r="Z65" s="10" t="n">
        <f aca="false">Z21</f>
        <v>18.5402846849542</v>
      </c>
      <c r="AA65" s="10" t="n">
        <f aca="false">AA21</f>
        <v>18.7821832789464</v>
      </c>
      <c r="AB65" s="10" t="n">
        <f aca="false">AB21</f>
        <v>19.0268273707937</v>
      </c>
      <c r="AC65" s="10" t="n">
        <f aca="false">AC21</f>
        <v>19.2742363986343</v>
      </c>
    </row>
    <row r="66" customFormat="false" ht="15" hidden="false" customHeight="false" outlineLevel="0" collapsed="false">
      <c r="A66" s="21" t="s">
        <v>151</v>
      </c>
      <c r="B66" s="4" t="s">
        <v>3</v>
      </c>
      <c r="C66" s="13" t="n">
        <f aca="false">SUM(D66:AC66)</f>
        <v>163.876661932042</v>
      </c>
      <c r="D66" s="40" t="n">
        <f aca="false">-(Inputs!$B$19-C30-C41)</f>
        <v>-26.25</v>
      </c>
      <c r="E66" s="13" t="n">
        <f aca="false">E21-E33-E44</f>
        <v>2.76612601362765</v>
      </c>
      <c r="F66" s="13" t="n">
        <f aca="false">F21-F33-F44</f>
        <v>2.803370148346</v>
      </c>
      <c r="G66" s="13" t="n">
        <f aca="false">G21-G33-G44</f>
        <v>2.84113094284813</v>
      </c>
      <c r="H66" s="13" t="n">
        <f aca="false">H21-H33-H44</f>
        <v>2.87941513841923</v>
      </c>
      <c r="I66" s="13" t="n">
        <f aca="false">I21-I33-I44</f>
        <v>2.918229552866</v>
      </c>
      <c r="J66" s="13" t="n">
        <f aca="false">J21-J33-J44</f>
        <v>2.95758108105872</v>
      </c>
      <c r="K66" s="13" t="n">
        <f aca="false">K21-K33-K44</f>
        <v>2.99747669546648</v>
      </c>
      <c r="L66" s="13" t="n">
        <f aca="false">L21-L33-L44</f>
        <v>3.03792344668502</v>
      </c>
      <c r="M66" s="13" t="n">
        <f aca="false">M21-M33-M44</f>
        <v>3.07892846395669</v>
      </c>
      <c r="N66" s="13" t="n">
        <f aca="false">N21-N33-N44</f>
        <v>3.12049895568221</v>
      </c>
      <c r="O66" s="13" t="n">
        <f aca="false">O21-O33-O44</f>
        <v>3.16264220992335</v>
      </c>
      <c r="P66" s="13" t="n">
        <f aca="false">P21-P33-P44</f>
        <v>3.20536559489629</v>
      </c>
      <c r="Q66" s="13" t="n">
        <f aca="false">Q21-Q33-Q44</f>
        <v>3.24867655945507</v>
      </c>
      <c r="R66" s="13" t="n">
        <f aca="false">R21-R33-R44</f>
        <v>3.29258263356422</v>
      </c>
      <c r="S66" s="13" t="n">
        <f aca="false">S21-S33-S44</f>
        <v>3.33709142876052</v>
      </c>
      <c r="T66" s="13" t="n">
        <f aca="false">T21-T33-T44</f>
        <v>3.38221063860276</v>
      </c>
      <c r="U66" s="13" t="n">
        <f aca="false">U21-U33-U44</f>
        <v>3.42794803910907</v>
      </c>
      <c r="V66" s="13" t="n">
        <f aca="false">V21-V33-V44</f>
        <v>3.47431148918129</v>
      </c>
      <c r="W66" s="13" t="n">
        <f aca="false">W21-W33-W44</f>
        <v>20.0183641451678</v>
      </c>
      <c r="X66" s="13" t="n">
        <f aca="false">X21-X33-X44</f>
        <v>20.2521451010069</v>
      </c>
      <c r="Y66" s="13" t="n">
        <f aca="false">Y21-Y33-Y44</f>
        <v>18.3011119200899</v>
      </c>
      <c r="Z66" s="13" t="n">
        <f aca="false">Z21-Z33-Z44</f>
        <v>18.5402846849542</v>
      </c>
      <c r="AA66" s="13" t="n">
        <f aca="false">AA21-AA33-AA44</f>
        <v>18.7821832789464</v>
      </c>
      <c r="AB66" s="13" t="n">
        <f aca="false">AB21-AB33-AB44</f>
        <v>19.0268273707937</v>
      </c>
      <c r="AC66" s="13" t="n">
        <f aca="false">AC21-AC33-AC44</f>
        <v>19.2742363986343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2026-10-10T05:21:24Z</dcterms:created>
  <dc:creator>openpyxl</dc:creator>
  <dc:description/>
  <dc:language>en-US</dc:language>
  <cp:lastModifiedBy/>
  <dcterms:modified xsi:type="dcterms:W3CDTF">2026-10-10T05:21:24Z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